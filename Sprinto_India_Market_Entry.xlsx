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projects\bain\"/>
    </mc:Choice>
  </mc:AlternateContent>
  <xr:revisionPtr revIDLastSave="0" documentId="13_ncr:1_{1AC3B5FB-D365-4192-82BD-7404FAD458AF}" xr6:coauthVersionLast="47" xr6:coauthVersionMax="47" xr10:uidLastSave="{00000000-0000-0000-0000-000000000000}"/>
  <bookViews>
    <workbookView xWindow="-98" yWindow="-98" windowWidth="19396" windowHeight="11475" xr2:uid="{36B0F1B6-A15E-4341-8B4C-14E7DBCC14CD}"/>
  </bookViews>
  <sheets>
    <sheet name="Executive Summary" sheetId="1" r:id="rId1"/>
    <sheet name="Market Sizing" sheetId="2" r:id="rId2"/>
    <sheet name="Benchmarking" sheetId="3" r:id="rId3"/>
    <sheet name="Financial Model" sheetId="4" r:id="rId4"/>
    <sheet name="Scenarios" sheetId="5" r:id="rId5"/>
    <sheet name="Assumptions &amp; Source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1" i="1" l="1"/>
  <c r="N10" i="1"/>
  <c r="N9" i="1"/>
  <c r="I18" i="1"/>
  <c r="I17" i="1"/>
  <c r="I16" i="1"/>
  <c r="H16" i="1"/>
  <c r="H18" i="1"/>
  <c r="H17" i="1"/>
  <c r="D4" i="4"/>
  <c r="D6" i="4" s="1"/>
  <c r="D13" i="4"/>
  <c r="D11" i="4"/>
  <c r="D9" i="4"/>
  <c r="D5" i="4"/>
  <c r="D3" i="4"/>
  <c r="D2" i="4"/>
  <c r="N16" i="1"/>
  <c r="C19" i="1"/>
  <c r="C15" i="1"/>
  <c r="C17" i="1"/>
  <c r="N8" i="1"/>
  <c r="N7" i="1"/>
  <c r="E4" i="2"/>
  <c r="E5" i="2"/>
  <c r="D17" i="5"/>
  <c r="C17" i="5"/>
  <c r="B17" i="5"/>
  <c r="D16" i="5"/>
  <c r="C16" i="5"/>
  <c r="B16" i="5"/>
  <c r="D15" i="5"/>
  <c r="C15" i="5"/>
  <c r="B15" i="5"/>
  <c r="D14" i="5"/>
  <c r="C14" i="5"/>
  <c r="B14" i="5"/>
  <c r="D13" i="5"/>
  <c r="C13" i="5"/>
  <c r="B13" i="5"/>
  <c r="D12" i="5"/>
  <c r="D11" i="5"/>
  <c r="C12" i="5"/>
  <c r="B12" i="5"/>
  <c r="C11" i="5"/>
  <c r="B11" i="5"/>
  <c r="C10" i="5"/>
  <c r="D9" i="5"/>
  <c r="D10" i="5" s="1"/>
  <c r="B10" i="5"/>
  <c r="C9" i="5"/>
  <c r="B9" i="5"/>
  <c r="E10" i="2"/>
  <c r="E11" i="2" s="1"/>
  <c r="E8" i="2"/>
  <c r="E7" i="2"/>
  <c r="E9" i="2"/>
  <c r="E3" i="2"/>
  <c r="E6" i="2"/>
  <c r="E2" i="2"/>
  <c r="D14" i="4" l="1"/>
  <c r="N21" i="1" s="1"/>
  <c r="N17" i="1"/>
  <c r="D10" i="4"/>
  <c r="N19" i="1" s="1"/>
  <c r="D12" i="4"/>
  <c r="N20" i="1" s="1"/>
  <c r="D7" i="4"/>
  <c r="N18" i="1" l="1"/>
  <c r="D8" i="4"/>
  <c r="D15" i="4"/>
  <c r="D16" i="4" l="1"/>
  <c r="N22" i="1"/>
  <c r="N23" i="1" l="1"/>
  <c r="N12" i="1"/>
</calcChain>
</file>

<file path=xl/sharedStrings.xml><?xml version="1.0" encoding="utf-8"?>
<sst xmlns="http://schemas.openxmlformats.org/spreadsheetml/2006/main" count="280" uniqueCount="155">
  <si>
    <t>Source</t>
  </si>
  <si>
    <t>Input</t>
  </si>
  <si>
    <t>Assumption</t>
  </si>
  <si>
    <t>Calculation</t>
  </si>
  <si>
    <t>Result</t>
  </si>
  <si>
    <t>Notes</t>
  </si>
  <si>
    <t>SaaS Browser</t>
  </si>
  <si>
    <t>Directional estimate</t>
  </si>
  <si>
    <t>Model assumption</t>
  </si>
  <si>
    <t>Annual revenue/customer</t>
  </si>
  <si>
    <t>—</t>
  </si>
  <si>
    <t>Assumption, not Sprinto's published price</t>
  </si>
  <si>
    <t>Model</t>
  </si>
  <si>
    <t>TAM revenue</t>
  </si>
  <si>
    <t>Serviceable %</t>
  </si>
  <si>
    <t>Assumption to be tested</t>
  </si>
  <si>
    <t>SAM customers</t>
  </si>
  <si>
    <t>Calculated</t>
  </si>
  <si>
    <t>SAM revenue</t>
  </si>
  <si>
    <t>Obtainable %</t>
  </si>
  <si>
    <t>SOM customers</t>
  </si>
  <si>
    <t>SOM revenue</t>
  </si>
  <si>
    <t>No. of Indian SaaS businesses</t>
  </si>
  <si>
    <t>TAM customers</t>
  </si>
  <si>
    <t>Starting SaaS population</t>
  </si>
  <si>
    <t>Total identified population</t>
  </si>
  <si>
    <t>TAM customers × Annual revenue/customer</t>
  </si>
  <si>
    <t>Theoretical opportunity</t>
  </si>
  <si>
    <t>TAM customers × Serviceable %</t>
  </si>
  <si>
    <t>SAM customers × Annual revenue/customer</t>
  </si>
  <si>
    <t>SAM customers × Obtainable %</t>
  </si>
  <si>
    <t>SOM customers × Annual revenue/customer</t>
  </si>
  <si>
    <t>Company</t>
  </si>
  <si>
    <t>Target / Positioning</t>
  </si>
  <si>
    <t>Framework Coverage</t>
  </si>
  <si>
    <t>Integrations</t>
  </si>
  <si>
    <t>Automation</t>
  </si>
  <si>
    <t>AI Capabilities</t>
  </si>
  <si>
    <t>Pricing Transparency</t>
  </si>
  <si>
    <t>Sprinto</t>
  </si>
  <si>
    <t>Scaling companies / startups</t>
  </si>
  <si>
    <t>25+ automated; 200+ digitized</t>
  </si>
  <si>
    <t>300+</t>
  </si>
  <si>
    <t>High</t>
  </si>
  <si>
    <t>Strong</t>
  </si>
  <si>
    <t>Quote-based</t>
  </si>
  <si>
    <t>Scrut</t>
  </si>
  <si>
    <t>Compliance / risk teams</t>
  </si>
  <si>
    <t>70+</t>
  </si>
  <si>
    <t>150+</t>
  </si>
  <si>
    <t>Check</t>
  </si>
  <si>
    <t>Vanta</t>
  </si>
  <si>
    <t>Growing businesses</t>
  </si>
  <si>
    <t>Multiple</t>
  </si>
  <si>
    <t>Drata</t>
  </si>
  <si>
    <t>Growing / enterprise teams</t>
  </si>
  <si>
    <t>25+</t>
  </si>
  <si>
    <t>SOM Customers</t>
  </si>
  <si>
    <t>From Market Sizing</t>
  </si>
  <si>
    <t>Annual Revenue / Customer</t>
  </si>
  <si>
    <t>Annual Revenue</t>
  </si>
  <si>
    <t>Customers × Revenue/customer</t>
  </si>
  <si>
    <t>COGS %</t>
  </si>
  <si>
    <t>COGS</t>
  </si>
  <si>
    <t>Revenue × COGS %</t>
  </si>
  <si>
    <t>Gross Profit</t>
  </si>
  <si>
    <t>Revenue − COGS</t>
  </si>
  <si>
    <t>Gross Margin</t>
  </si>
  <si>
    <t>Gross Profit ÷ Revenue</t>
  </si>
  <si>
    <t>Sales &amp; Marketing %</t>
  </si>
  <si>
    <t>Sales &amp; Marketing</t>
  </si>
  <si>
    <t>Revenue × S&amp;M %</t>
  </si>
  <si>
    <t>R&amp;D %</t>
  </si>
  <si>
    <t>R&amp;D</t>
  </si>
  <si>
    <t>Revenue × R&amp;D %</t>
  </si>
  <si>
    <t>G&amp;A %</t>
  </si>
  <si>
    <t>G&amp;A</t>
  </si>
  <si>
    <t>Revenue × G&amp;A %</t>
  </si>
  <si>
    <t>Operating Profit</t>
  </si>
  <si>
    <t>Gross Profit − S&amp;M − R&amp;D − G&amp;A</t>
  </si>
  <si>
    <t>Operating Margin</t>
  </si>
  <si>
    <t>Operating Profit ÷ Revenue</t>
  </si>
  <si>
    <t>Conservative</t>
  </si>
  <si>
    <t>Base Case</t>
  </si>
  <si>
    <t>Upside</t>
  </si>
  <si>
    <t>Item</t>
  </si>
  <si>
    <t>Value / Assumption</t>
  </si>
  <si>
    <t>Type</t>
  </si>
  <si>
    <t>Source / Rationale</t>
  </si>
  <si>
    <t>Indian SaaS business universe</t>
  </si>
  <si>
    <t>External data</t>
  </si>
  <si>
    <t>Used for business-case modeling; not published company pricing</t>
  </si>
  <si>
    <t>Serviceable market</t>
  </si>
  <si>
    <t>Model assumption; requires validation</t>
  </si>
  <si>
    <t>Obtainable market</t>
  </si>
  <si>
    <t>Illustrative financial-model assumption</t>
  </si>
  <si>
    <t>Competitor source</t>
  </si>
  <si>
    <t>Sprinto public product/pricing pages</t>
  </si>
  <si>
    <t>Scrut public website</t>
  </si>
  <si>
    <t>Vanta public website</t>
  </si>
  <si>
    <t>Drata public website</t>
  </si>
  <si>
    <t>SaaS Browser:</t>
  </si>
  <si>
    <t>URL</t>
  </si>
  <si>
    <t>https://saasbrowser.com/en/list-of-saas-in-IN</t>
  </si>
  <si>
    <t>https://sprinto.com/pricing/</t>
  </si>
  <si>
    <t>https://www.scrut.io/</t>
  </si>
  <si>
    <t>https://www.vanta.com/features</t>
  </si>
  <si>
    <t>https://drata.com/products/compliance-automation</t>
  </si>
  <si>
    <t>AI Compliance Market &amp; Business Case Analysis</t>
  </si>
  <si>
    <t>Executive Summary</t>
  </si>
  <si>
    <t>1. Project Overview</t>
  </si>
  <si>
    <t>Project Title</t>
  </si>
  <si>
    <t>Objective</t>
  </si>
  <si>
    <t>Evaluate the commercial opportunity for an AI-enabled compliance platform targeting Indian technology and SaaS businesses.</t>
  </si>
  <si>
    <t>Scope</t>
  </si>
  <si>
    <t>Market sizing, competitive benchmarking, financial modeling and scenario analysis.</t>
  </si>
  <si>
    <t>Data</t>
  </si>
  <si>
    <t>Publicly available information and illustrative business-case assumptions.</t>
  </si>
  <si>
    <t>2. Business Question</t>
  </si>
  <si>
    <t>What is the potential commercial opportunity for an AI-enabled compliance platform targeting Indian technology and SaaS businesses?</t>
  </si>
  <si>
    <t>3. Key Findings — Base Case</t>
  </si>
  <si>
    <t>Metric</t>
  </si>
  <si>
    <t>TAM</t>
  </si>
  <si>
    <t>SAM</t>
  </si>
  <si>
    <t>SOM Revenue</t>
  </si>
  <si>
    <t>SOM</t>
  </si>
  <si>
    <t>4. Market Opportunity</t>
  </si>
  <si>
    <t>Scenario</t>
  </si>
  <si>
    <t>5.Scenario Analysis</t>
  </si>
  <si>
    <t>Value</t>
  </si>
  <si>
    <t>Revenue</t>
  </si>
  <si>
    <t>6. Financial Model</t>
  </si>
  <si>
    <t>Key Insight</t>
  </si>
  <si>
    <t>Profitability varies materially with customer acquisition, pricing and cost assumptions.</t>
  </si>
  <si>
    <t>Key Positioning / Capabilities</t>
  </si>
  <si>
    <t>Compliance automation, 25+ frameworks, 300+ integrations, AI-enabled capabilities</t>
  </si>
  <si>
    <t>Compliance and risk automation, 70+ frameworks, 150+ integrations</t>
  </si>
  <si>
    <t>Compliance automation, 300+ integrations, AI-enabled workflows</t>
  </si>
  <si>
    <t>Continuous compliance, AI-enabled GRC, 300+ integrations</t>
  </si>
  <si>
    <t>7. Competitive Landscape (Summary)</t>
  </si>
  <si>
    <t>The analysis indicates a sizeable potential market for compliance automation among Indian SaaS and technology businesses. Under the base-case assumptions, the model estimates approximately ₹11.9 Cr in annual revenue and ₹2.4 Cr in operating profit. However, the economics vary significantly across scenarios and are sensitive to customer acquisition, willingness to pay and cost assumptions. Competitive benchmarking also indicates that established platforms already offer substantial automation and AI-enabled capabilities.</t>
  </si>
  <si>
    <t>2. Validate serviceability</t>
  </si>
  <si>
    <t>3. Validate customer acquisition</t>
  </si>
  <si>
    <t>4. Differentiate beyond AI</t>
  </si>
  <si>
    <t>5. Validate scalable economics</t>
  </si>
  <si>
    <t>Customer acquisition, revenue/customer and operating costs have a material impact on profitability.</t>
  </si>
  <si>
    <t>1.Validate willingness to pay</t>
  </si>
  <si>
    <t>₹3 lakh annual revenue/customer is a model assumption and should be validated against customer willingness to pay and comparable pricing.</t>
  </si>
  <si>
    <t>40% of the identified SaaS universe is assumed to be serviceable; the actual addressable segment may be narrower.</t>
  </si>
  <si>
    <t>5% obtainable market share is an assumption and requires evidence on achievable customer acquisition.</t>
  </si>
  <si>
    <t>Established competitors already offer AI-enabled compliance capabilities, so AI alone may not provide sufficient differentiation.</t>
  </si>
  <si>
    <t>8. Key Business Considerations</t>
  </si>
  <si>
    <t>9. Conclusion</t>
  </si>
  <si>
    <t>Important Note</t>
  </si>
  <si>
    <t>This is an independent portfolio analysis based on publicly available information and illustrative assumptions. It does not represent the actual financial performance, strategy or recommendations of any company referenced.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</si>
</sst>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 #,##0;[Red]&quot;₹&quot;\ \-#,##0"/>
    <numFmt numFmtId="43" formatCode="_ * #,##0.00_ ;_ * \-#,##0.00_ ;_ * &quot;-&quot;??_ ;_ @_ "/>
    <numFmt numFmtId="164" formatCode="&quot;₹&quot;0.0\ \C\r"/>
    <numFmt numFmtId="165" formatCode="&quot;₹&quot;\ 0.0\ \C\r"/>
    <numFmt numFmtId="166" formatCode="_ * #,##0_ ;_ * \-#,##0_ ;_ * &quot;-&quot;??_ ;_ @_ "/>
    <numFmt numFmtId="167" formatCode="&quot;₹&quot;\ 0.00\ \C\r"/>
  </numFmts>
  <fonts count="13">
    <font>
      <sz val="11"/>
      <color theme="1"/>
      <name val="Calibri"/>
      <family val="2"/>
      <scheme val="minor"/>
    </font>
    <font>
      <b/>
      <sz val="11"/>
      <color theme="1"/>
      <name val="Calibri"/>
      <family val="2"/>
      <scheme val="minor"/>
    </font>
    <font>
      <sz val="11"/>
      <color theme="1"/>
      <name val="Calibri"/>
      <family val="2"/>
      <scheme val="minor"/>
    </font>
    <font>
      <u/>
      <sz val="11"/>
      <color theme="10"/>
      <name val="Calibri"/>
      <family val="2"/>
      <scheme val="minor"/>
    </font>
    <font>
      <b/>
      <sz val="13.5"/>
      <color theme="1"/>
      <name val="Calibri"/>
      <family val="2"/>
      <scheme val="minor"/>
    </font>
    <font>
      <b/>
      <sz val="11"/>
      <color theme="4" tint="-0.249977111117893"/>
      <name val="Calibri"/>
      <family val="2"/>
      <scheme val="minor"/>
    </font>
    <font>
      <b/>
      <sz val="11"/>
      <color theme="4" tint="-0.499984740745262"/>
      <name val="Calibri"/>
      <family val="2"/>
      <scheme val="minor"/>
    </font>
    <font>
      <b/>
      <sz val="12"/>
      <color theme="4" tint="-0.499984740745262"/>
      <name val="Calibri"/>
      <family val="2"/>
      <scheme val="minor"/>
    </font>
    <font>
      <sz val="12"/>
      <color theme="1"/>
      <name val="Calibri"/>
      <family val="2"/>
      <scheme val="minor"/>
    </font>
    <font>
      <b/>
      <sz val="14"/>
      <color theme="8" tint="-0.249977111117893"/>
      <name val="Calibri"/>
      <family val="2"/>
      <scheme val="minor"/>
    </font>
    <font>
      <b/>
      <sz val="12"/>
      <color theme="8" tint="-0.499984740745262"/>
      <name val="Calibri"/>
      <family val="2"/>
      <scheme val="minor"/>
    </font>
    <font>
      <b/>
      <sz val="14"/>
      <color theme="8" tint="-0.499984740745262"/>
      <name val="Calibri"/>
      <family val="2"/>
      <scheme val="minor"/>
    </font>
    <font>
      <sz val="10"/>
      <color theme="1"/>
      <name val="Arial Unicode MS"/>
    </font>
  </fonts>
  <fills count="4">
    <fill>
      <patternFill patternType="none"/>
    </fill>
    <fill>
      <patternFill patternType="gray125"/>
    </fill>
    <fill>
      <patternFill patternType="solid">
        <fgColor theme="8" tint="0.59999389629810485"/>
        <bgColor indexed="64"/>
      </patternFill>
    </fill>
    <fill>
      <patternFill patternType="solid">
        <fgColor theme="8" tint="0.79998168889431442"/>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indexed="64"/>
      </left>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s>
  <cellStyleXfs count="4">
    <xf numFmtId="0" fontId="0" fillId="0" borderId="0"/>
    <xf numFmtId="43" fontId="2" fillId="0" borderId="0" applyFont="0" applyFill="0" applyBorder="0" applyAlignment="0" applyProtection="0"/>
    <xf numFmtId="9" fontId="2" fillId="0" borderId="0" applyFont="0" applyFill="0" applyBorder="0" applyAlignment="0" applyProtection="0"/>
    <xf numFmtId="0" fontId="3" fillId="0" borderId="0" applyNumberFormat="0" applyFill="0" applyBorder="0" applyAlignment="0" applyProtection="0"/>
  </cellStyleXfs>
  <cellXfs count="175">
    <xf numFmtId="0" fontId="0" fillId="0" borderId="0" xfId="0"/>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6" fontId="0" fillId="0" borderId="1" xfId="0" applyNumberFormat="1" applyBorder="1" applyAlignment="1">
      <alignment horizontal="center" vertical="center" wrapText="1"/>
    </xf>
    <xf numFmtId="9" fontId="0" fillId="0" borderId="1" xfId="0" applyNumberFormat="1" applyBorder="1" applyAlignment="1">
      <alignment horizontal="center" vertical="center" wrapText="1"/>
    </xf>
    <xf numFmtId="0" fontId="1" fillId="0" borderId="2" xfId="0" applyFont="1" applyBorder="1" applyAlignment="1">
      <alignment horizontal="center" vertical="center" wrapText="1"/>
    </xf>
    <xf numFmtId="0" fontId="0" fillId="0" borderId="5" xfId="0" applyBorder="1" applyAlignment="1">
      <alignment horizontal="center" vertical="center" wrapText="1"/>
    </xf>
    <xf numFmtId="0" fontId="3" fillId="0" borderId="6" xfId="3"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3" fillId="0" borderId="9" xfId="3" applyBorder="1" applyAlignment="1">
      <alignment horizontal="center" vertical="center" wrapText="1"/>
    </xf>
    <xf numFmtId="0" fontId="0" fillId="0" borderId="10" xfId="0" applyBorder="1" applyAlignment="1">
      <alignment horizontal="center" vertical="center" wrapText="1"/>
    </xf>
    <xf numFmtId="3" fontId="0" fillId="0" borderId="11" xfId="0" applyNumberFormat="1" applyBorder="1" applyAlignment="1">
      <alignment horizontal="center" vertical="center" wrapText="1"/>
    </xf>
    <xf numFmtId="0" fontId="0" fillId="0" borderId="11" xfId="0" applyBorder="1" applyAlignment="1">
      <alignment horizontal="center" vertical="center" wrapText="1"/>
    </xf>
    <xf numFmtId="0" fontId="3" fillId="0" borderId="12" xfId="3" applyBorder="1" applyAlignment="1">
      <alignment horizontal="center" vertical="center" wrapText="1"/>
    </xf>
    <xf numFmtId="0" fontId="1" fillId="0" borderId="14" xfId="0" applyFont="1" applyBorder="1" applyAlignment="1">
      <alignment horizontal="center" vertical="center" wrapText="1"/>
    </xf>
    <xf numFmtId="0" fontId="0" fillId="0" borderId="6" xfId="0" applyBorder="1" applyAlignment="1">
      <alignment horizontal="center" vertical="center"/>
    </xf>
    <xf numFmtId="0" fontId="5" fillId="0" borderId="13" xfId="0" applyFont="1" applyBorder="1" applyAlignment="1">
      <alignment horizontal="center" vertical="center" wrapText="1"/>
    </xf>
    <xf numFmtId="0" fontId="0" fillId="0" borderId="0" xfId="0" applyAlignment="1">
      <alignment vertical="center"/>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xf numFmtId="0" fontId="1" fillId="0" borderId="10" xfId="0" applyFont="1" applyBorder="1" applyAlignment="1">
      <alignment horizontal="center" vertical="center" wrapText="1"/>
    </xf>
    <xf numFmtId="0" fontId="0" fillId="0" borderId="12" xfId="0" applyBorder="1" applyAlignment="1">
      <alignment horizontal="center" vertical="center" wrapText="1"/>
    </xf>
    <xf numFmtId="0" fontId="1" fillId="0" borderId="5" xfId="0" applyFont="1" applyBorder="1" applyAlignment="1">
      <alignment horizontal="center" vertical="center" wrapText="1"/>
    </xf>
    <xf numFmtId="6" fontId="0" fillId="0" borderId="6" xfId="0" applyNumberFormat="1" applyBorder="1" applyAlignment="1">
      <alignment horizontal="center" vertical="center" wrapText="1"/>
    </xf>
    <xf numFmtId="9" fontId="0" fillId="0" borderId="6" xfId="0" applyNumberFormat="1" applyBorder="1" applyAlignment="1">
      <alignment horizontal="center" vertical="center" wrapText="1"/>
    </xf>
    <xf numFmtId="0" fontId="1" fillId="0" borderId="7" xfId="0" applyFont="1" applyBorder="1" applyAlignment="1">
      <alignment horizontal="center" vertical="center" wrapText="1"/>
    </xf>
    <xf numFmtId="9" fontId="0" fillId="0" borderId="8" xfId="0" applyNumberFormat="1" applyBorder="1" applyAlignment="1">
      <alignment horizontal="center" vertical="center" wrapText="1"/>
    </xf>
    <xf numFmtId="9" fontId="0" fillId="0" borderId="9" xfId="0" applyNumberFormat="1"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165" fontId="1" fillId="0" borderId="3" xfId="0" applyNumberFormat="1" applyFont="1" applyBorder="1" applyAlignment="1">
      <alignment horizontal="center" vertical="center" wrapText="1"/>
    </xf>
    <xf numFmtId="167" fontId="1" fillId="0" borderId="3" xfId="0" applyNumberFormat="1" applyFont="1" applyBorder="1" applyAlignment="1">
      <alignment horizontal="center" vertical="center" wrapText="1"/>
    </xf>
    <xf numFmtId="165" fontId="1" fillId="0" borderId="4" xfId="0" applyNumberFormat="1" applyFont="1" applyBorder="1" applyAlignment="1">
      <alignment horizontal="center" vertical="center" wrapText="1"/>
    </xf>
    <xf numFmtId="165" fontId="0" fillId="0" borderId="1" xfId="0" applyNumberFormat="1" applyBorder="1" applyAlignment="1">
      <alignment horizontal="center" vertical="center" wrapText="1"/>
    </xf>
    <xf numFmtId="165" fontId="0" fillId="0" borderId="6" xfId="0" applyNumberFormat="1" applyBorder="1" applyAlignment="1">
      <alignment horizontal="center" vertical="center" wrapText="1"/>
    </xf>
    <xf numFmtId="165" fontId="1" fillId="0" borderId="1" xfId="0" applyNumberFormat="1" applyFont="1" applyBorder="1" applyAlignment="1">
      <alignment horizontal="center" vertical="center" wrapText="1"/>
    </xf>
    <xf numFmtId="165" fontId="1" fillId="0" borderId="6" xfId="0" applyNumberFormat="1" applyFont="1" applyBorder="1" applyAlignment="1">
      <alignment horizontal="center" vertical="center" wrapText="1"/>
    </xf>
    <xf numFmtId="9" fontId="1" fillId="0" borderId="1" xfId="0" applyNumberFormat="1" applyFont="1" applyBorder="1" applyAlignment="1">
      <alignment horizontal="center" vertical="center" wrapText="1"/>
    </xf>
    <xf numFmtId="9" fontId="1" fillId="0" borderId="6" xfId="0" applyNumberFormat="1" applyFont="1" applyBorder="1" applyAlignment="1">
      <alignment horizontal="center" vertical="center" wrapText="1"/>
    </xf>
    <xf numFmtId="9" fontId="1" fillId="0" borderId="8" xfId="2" applyFont="1" applyBorder="1" applyAlignment="1">
      <alignment horizontal="center" vertical="center" wrapText="1"/>
    </xf>
    <xf numFmtId="9" fontId="1" fillId="0" borderId="9" xfId="2" applyFont="1" applyBorder="1" applyAlignment="1">
      <alignment horizontal="center" vertical="center" wrapText="1"/>
    </xf>
    <xf numFmtId="0" fontId="1" fillId="0" borderId="12" xfId="0" applyFont="1" applyBorder="1" applyAlignment="1">
      <alignment horizontal="center" vertical="center" wrapText="1"/>
    </xf>
    <xf numFmtId="6" fontId="1" fillId="0" borderId="6" xfId="0" applyNumberFormat="1" applyFont="1" applyBorder="1" applyAlignment="1">
      <alignment horizontal="center" vertical="center" wrapText="1"/>
    </xf>
    <xf numFmtId="0" fontId="0" fillId="0" borderId="6" xfId="0" applyBorder="1" applyAlignment="1">
      <alignment horizontal="center" vertical="center" wrapText="1"/>
    </xf>
    <xf numFmtId="0" fontId="0" fillId="0" borderId="9" xfId="0" applyBorder="1" applyAlignment="1">
      <alignment horizontal="center" vertical="center" wrapText="1"/>
    </xf>
    <xf numFmtId="0" fontId="0" fillId="0" borderId="0" xfId="0" applyAlignment="1">
      <alignment horizontal="center" vertical="center" wrapText="1"/>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15" xfId="0" applyFont="1" applyBorder="1" applyAlignment="1">
      <alignment horizontal="center" vertical="center"/>
    </xf>
    <xf numFmtId="0" fontId="1" fillId="0" borderId="5" xfId="0" applyFont="1" applyBorder="1" applyAlignment="1">
      <alignment horizontal="center" vertical="center"/>
    </xf>
    <xf numFmtId="0" fontId="0" fillId="0" borderId="39" xfId="0" applyBorder="1"/>
    <xf numFmtId="0" fontId="0" fillId="0" borderId="40" xfId="0" applyBorder="1"/>
    <xf numFmtId="0" fontId="0" fillId="0" borderId="34" xfId="0" applyBorder="1"/>
    <xf numFmtId="0" fontId="1" fillId="0" borderId="2" xfId="0" applyFont="1" applyBorder="1" applyAlignment="1">
      <alignment horizontal="center" vertical="center"/>
    </xf>
    <xf numFmtId="0" fontId="1" fillId="0" borderId="0" xfId="0" applyFont="1" applyAlignment="1">
      <alignment horizontal="center" vertical="center" wrapText="1"/>
    </xf>
    <xf numFmtId="0" fontId="4" fillId="0" borderId="0" xfId="0" applyFont="1" applyAlignment="1">
      <alignment vertical="center"/>
    </xf>
    <xf numFmtId="0" fontId="0" fillId="0" borderId="25" xfId="0" applyBorder="1"/>
    <xf numFmtId="9" fontId="1" fillId="0" borderId="9" xfId="0" applyNumberFormat="1" applyFont="1" applyBorder="1" applyAlignment="1">
      <alignment horizontal="center" vertical="center" wrapText="1"/>
    </xf>
    <xf numFmtId="0" fontId="1" fillId="0" borderId="8" xfId="0" applyFont="1" applyBorder="1" applyAlignment="1">
      <alignment horizontal="center" vertical="center" wrapText="1"/>
    </xf>
    <xf numFmtId="165" fontId="0" fillId="0" borderId="24" xfId="0" applyNumberFormat="1" applyBorder="1" applyAlignment="1">
      <alignment horizontal="center" vertical="center" wrapText="1"/>
    </xf>
    <xf numFmtId="0" fontId="0" fillId="0" borderId="23" xfId="0" applyBorder="1" applyAlignment="1">
      <alignment horizontal="center" vertical="center" wrapText="1"/>
    </xf>
    <xf numFmtId="0" fontId="0" fillId="0" borderId="25" xfId="0" applyBorder="1" applyAlignment="1">
      <alignment horizontal="center" vertical="center" wrapText="1"/>
    </xf>
    <xf numFmtId="0" fontId="0" fillId="0" borderId="28" xfId="0"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9" xfId="0" applyBorder="1" applyAlignment="1">
      <alignment horizontal="center" vertical="center" wrapText="1"/>
    </xf>
    <xf numFmtId="0" fontId="0" fillId="0" borderId="21" xfId="0" applyBorder="1" applyAlignment="1">
      <alignment horizontal="center" vertical="center" wrapText="1"/>
    </xf>
    <xf numFmtId="0" fontId="0" fillId="0" borderId="22" xfId="0" applyBorder="1" applyAlignment="1">
      <alignment horizontal="center" vertical="center" wrapText="1"/>
    </xf>
    <xf numFmtId="0" fontId="0" fillId="0" borderId="30" xfId="0" applyBorder="1" applyAlignment="1">
      <alignment horizontal="center" vertical="center" wrapText="1"/>
    </xf>
    <xf numFmtId="0" fontId="0" fillId="0" borderId="42" xfId="0"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7" fillId="2" borderId="36" xfId="0" applyFont="1" applyFill="1" applyBorder="1" applyAlignment="1">
      <alignment horizontal="center"/>
    </xf>
    <xf numFmtId="0" fontId="8" fillId="2" borderId="37" xfId="0" applyFont="1" applyFill="1" applyBorder="1" applyAlignment="1">
      <alignment horizontal="center"/>
    </xf>
    <xf numFmtId="0" fontId="8" fillId="2" borderId="38" xfId="0" applyFont="1" applyFill="1" applyBorder="1" applyAlignment="1">
      <alignment horizontal="center"/>
    </xf>
    <xf numFmtId="0" fontId="10" fillId="2" borderId="2" xfId="0" applyFont="1" applyFill="1" applyBorder="1" applyAlignment="1">
      <alignment horizontal="center"/>
    </xf>
    <xf numFmtId="0" fontId="8" fillId="2" borderId="3" xfId="0" applyFont="1" applyFill="1" applyBorder="1" applyAlignment="1">
      <alignment horizontal="center"/>
    </xf>
    <xf numFmtId="0" fontId="8" fillId="2" borderId="4" xfId="0" applyFont="1" applyFill="1" applyBorder="1" applyAlignment="1">
      <alignment horizontal="center"/>
    </xf>
    <xf numFmtId="0" fontId="1" fillId="0" borderId="5" xfId="0" applyFont="1" applyBorder="1" applyAlignment="1">
      <alignment horizontal="center" vertical="center" wrapText="1"/>
    </xf>
    <xf numFmtId="0" fontId="0" fillId="0" borderId="1"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9" fillId="0" borderId="36" xfId="0" applyFont="1" applyBorder="1" applyAlignment="1">
      <alignment horizontal="center"/>
    </xf>
    <xf numFmtId="0" fontId="9" fillId="0" borderId="37" xfId="0" applyFont="1" applyBorder="1" applyAlignment="1">
      <alignment horizontal="center"/>
    </xf>
    <xf numFmtId="0" fontId="9" fillId="0" borderId="38" xfId="0" applyFont="1" applyBorder="1" applyAlignment="1">
      <alignment horizontal="center"/>
    </xf>
    <xf numFmtId="0" fontId="9" fillId="0" borderId="39" xfId="0" applyFont="1" applyBorder="1" applyAlignment="1">
      <alignment horizontal="center"/>
    </xf>
    <xf numFmtId="0" fontId="9" fillId="0" borderId="0" xfId="0" applyFont="1" applyAlignment="1">
      <alignment horizontal="center"/>
    </xf>
    <xf numFmtId="0" fontId="9" fillId="0" borderId="40" xfId="0" applyFont="1" applyBorder="1" applyAlignment="1">
      <alignment horizontal="center"/>
    </xf>
    <xf numFmtId="0" fontId="10" fillId="0" borderId="39" xfId="0" applyFont="1" applyBorder="1" applyAlignment="1">
      <alignment horizontal="center"/>
    </xf>
    <xf numFmtId="0" fontId="10" fillId="0" borderId="0" xfId="0" applyFont="1" applyAlignment="1">
      <alignment horizontal="center"/>
    </xf>
    <xf numFmtId="0" fontId="10" fillId="0" borderId="40" xfId="0" applyFont="1" applyBorder="1" applyAlignment="1">
      <alignment horizontal="center"/>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164" fontId="0" fillId="0" borderId="11" xfId="0" applyNumberFormat="1" applyBorder="1" applyAlignment="1">
      <alignment horizontal="center" vertical="center" wrapText="1"/>
    </xf>
    <xf numFmtId="164" fontId="0" fillId="0" borderId="12" xfId="0" applyNumberFormat="1" applyBorder="1" applyAlignment="1">
      <alignment horizontal="center" vertical="center" wrapText="1"/>
    </xf>
    <xf numFmtId="165" fontId="0" fillId="0" borderId="1" xfId="0" applyNumberFormat="1" applyBorder="1" applyAlignment="1">
      <alignment horizontal="center" vertical="center" wrapText="1"/>
    </xf>
    <xf numFmtId="165" fontId="0" fillId="0" borderId="6" xfId="0" applyNumberFormat="1" applyBorder="1" applyAlignment="1">
      <alignment horizontal="center" vertical="center" wrapText="1"/>
    </xf>
    <xf numFmtId="9" fontId="0" fillId="0" borderId="1" xfId="0" applyNumberFormat="1" applyBorder="1" applyAlignment="1">
      <alignment horizontal="center" vertical="center" wrapText="1"/>
    </xf>
    <xf numFmtId="0" fontId="10" fillId="2" borderId="36" xfId="0" applyFont="1" applyFill="1" applyBorder="1" applyAlignment="1">
      <alignment horizontal="center"/>
    </xf>
    <xf numFmtId="0" fontId="1" fillId="0" borderId="13" xfId="0" applyFont="1"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33" xfId="0" applyBorder="1" applyAlignment="1">
      <alignment horizontal="center" vertical="center" wrapText="1"/>
    </xf>
    <xf numFmtId="0" fontId="0" fillId="0" borderId="34" xfId="0" applyBorder="1" applyAlignment="1">
      <alignment horizontal="center" vertical="center" wrapText="1"/>
    </xf>
    <xf numFmtId="0" fontId="0" fillId="0" borderId="35" xfId="0" applyBorder="1" applyAlignment="1">
      <alignment horizontal="center" vertical="center" wrapText="1"/>
    </xf>
    <xf numFmtId="0" fontId="10" fillId="2" borderId="13" xfId="0" applyFont="1" applyFill="1" applyBorder="1" applyAlignment="1">
      <alignment horizontal="center"/>
    </xf>
    <xf numFmtId="0" fontId="8" fillId="2" borderId="14" xfId="0" applyFont="1" applyFill="1" applyBorder="1" applyAlignment="1">
      <alignment horizontal="center"/>
    </xf>
    <xf numFmtId="0" fontId="8" fillId="2" borderId="15" xfId="0" applyFont="1" applyFill="1" applyBorder="1" applyAlignment="1">
      <alignment horizontal="center"/>
    </xf>
    <xf numFmtId="0" fontId="10" fillId="2" borderId="45" xfId="0" applyFont="1" applyFill="1" applyBorder="1" applyAlignment="1">
      <alignment horizontal="center"/>
    </xf>
    <xf numFmtId="0" fontId="10" fillId="2" borderId="46" xfId="0" applyFont="1" applyFill="1" applyBorder="1" applyAlignment="1">
      <alignment horizontal="center"/>
    </xf>
    <xf numFmtId="0" fontId="10" fillId="2" borderId="47" xfId="0" applyFont="1" applyFill="1" applyBorder="1" applyAlignment="1">
      <alignment horizontal="center"/>
    </xf>
    <xf numFmtId="9" fontId="0" fillId="0" borderId="8" xfId="0" applyNumberFormat="1" applyBorder="1" applyAlignment="1">
      <alignment horizontal="center" vertical="center" wrapText="1"/>
    </xf>
    <xf numFmtId="9" fontId="0" fillId="0" borderId="9" xfId="0" applyNumberFormat="1" applyBorder="1" applyAlignment="1">
      <alignment horizontal="center" vertical="center" wrapText="1"/>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0" fillId="2" borderId="3" xfId="0" applyFill="1" applyBorder="1" applyAlignment="1">
      <alignment horizontal="center"/>
    </xf>
    <xf numFmtId="0" fontId="0" fillId="2" borderId="4" xfId="0" applyFill="1" applyBorder="1" applyAlignment="1">
      <alignment horizontal="center"/>
    </xf>
    <xf numFmtId="0" fontId="1" fillId="0" borderId="1" xfId="0" applyFont="1" applyBorder="1" applyAlignment="1">
      <alignment horizontal="center" vertical="center" wrapText="1"/>
    </xf>
    <xf numFmtId="0" fontId="1" fillId="0" borderId="6" xfId="0" applyFont="1" applyBorder="1" applyAlignment="1">
      <alignment horizontal="center" vertical="center" wrapText="1"/>
    </xf>
    <xf numFmtId="9" fontId="0" fillId="0" borderId="6" xfId="0" applyNumberFormat="1" applyBorder="1" applyAlignment="1">
      <alignment horizontal="center" vertical="center" wrapText="1"/>
    </xf>
    <xf numFmtId="9" fontId="0" fillId="0" borderId="24" xfId="0" applyNumberFormat="1" applyBorder="1" applyAlignment="1">
      <alignment horizontal="center" vertical="center" wrapText="1"/>
    </xf>
    <xf numFmtId="9" fontId="0" fillId="0" borderId="48" xfId="0" applyNumberFormat="1" applyBorder="1" applyAlignment="1">
      <alignment horizontal="center" vertical="center" wrapText="1"/>
    </xf>
    <xf numFmtId="0" fontId="1" fillId="0" borderId="39" xfId="0" applyFont="1" applyBorder="1" applyAlignment="1">
      <alignment horizontal="center"/>
    </xf>
    <xf numFmtId="0" fontId="1" fillId="0" borderId="43" xfId="0" applyFont="1" applyBorder="1" applyAlignment="1">
      <alignment horizontal="center"/>
    </xf>
    <xf numFmtId="167" fontId="0" fillId="0" borderId="0" xfId="0" applyNumberFormat="1" applyAlignment="1">
      <alignment horizontal="center"/>
    </xf>
    <xf numFmtId="167" fontId="0" fillId="0" borderId="22" xfId="0" applyNumberFormat="1" applyBorder="1" applyAlignment="1">
      <alignment horizontal="center"/>
    </xf>
    <xf numFmtId="0" fontId="1" fillId="0" borderId="44" xfId="0" applyFont="1" applyBorder="1" applyAlignment="1">
      <alignment horizontal="center"/>
    </xf>
    <xf numFmtId="167" fontId="0" fillId="0" borderId="20" xfId="0" applyNumberFormat="1" applyBorder="1" applyAlignment="1">
      <alignment horizontal="center"/>
    </xf>
    <xf numFmtId="0" fontId="1" fillId="0" borderId="41" xfId="0" applyFont="1" applyBorder="1" applyAlignment="1">
      <alignment horizontal="center"/>
    </xf>
    <xf numFmtId="167" fontId="0" fillId="0" borderId="34" xfId="0" applyNumberFormat="1" applyBorder="1" applyAlignment="1">
      <alignment horizontal="center"/>
    </xf>
    <xf numFmtId="0" fontId="0" fillId="0" borderId="0" xfId="0" applyAlignment="1">
      <alignment horizontal="center"/>
    </xf>
    <xf numFmtId="0" fontId="0" fillId="0" borderId="40" xfId="0" applyBorder="1" applyAlignment="1">
      <alignment horizontal="center"/>
    </xf>
    <xf numFmtId="0" fontId="0" fillId="0" borderId="34" xfId="0" applyBorder="1" applyAlignment="1">
      <alignment horizontal="center"/>
    </xf>
    <xf numFmtId="0" fontId="0" fillId="0" borderId="35" xfId="0" applyBorder="1" applyAlignment="1">
      <alignment horizontal="center"/>
    </xf>
    <xf numFmtId="0" fontId="1" fillId="3" borderId="2"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0" borderId="41"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35" xfId="0" applyFont="1" applyBorder="1" applyAlignment="1">
      <alignment horizontal="center" vertical="center" wrapText="1"/>
    </xf>
    <xf numFmtId="0" fontId="1" fillId="0" borderId="8" xfId="0" applyFont="1" applyBorder="1" applyAlignment="1">
      <alignment horizontal="center" vertical="center" wrapText="1"/>
    </xf>
    <xf numFmtId="165" fontId="0" fillId="0" borderId="1" xfId="2" applyNumberFormat="1" applyFont="1" applyBorder="1" applyAlignment="1">
      <alignment horizontal="center" vertical="center" wrapText="1"/>
    </xf>
    <xf numFmtId="165" fontId="0" fillId="0" borderId="6" xfId="2" applyNumberFormat="1" applyFont="1" applyBorder="1" applyAlignment="1">
      <alignment horizontal="center" vertical="center" wrapText="1"/>
    </xf>
    <xf numFmtId="167" fontId="0" fillId="0" borderId="11" xfId="0" applyNumberFormat="1" applyBorder="1" applyAlignment="1">
      <alignment horizontal="center" vertical="center" wrapText="1"/>
    </xf>
    <xf numFmtId="167" fontId="0" fillId="0" borderId="12" xfId="0" applyNumberFormat="1" applyBorder="1" applyAlignment="1">
      <alignment horizontal="center" vertical="center" wrapText="1"/>
    </xf>
    <xf numFmtId="9" fontId="0" fillId="0" borderId="8" xfId="2" applyFont="1" applyBorder="1" applyAlignment="1">
      <alignment horizontal="center" vertical="center" wrapText="1"/>
    </xf>
    <xf numFmtId="9" fontId="0" fillId="0" borderId="9" xfId="2" applyFont="1" applyBorder="1" applyAlignment="1">
      <alignment horizontal="center" vertical="center" wrapText="1"/>
    </xf>
    <xf numFmtId="166" fontId="12" fillId="0" borderId="11" xfId="1" applyNumberFormat="1" applyFont="1" applyBorder="1" applyAlignment="1">
      <alignment horizontal="center" vertical="center" wrapText="1"/>
    </xf>
    <xf numFmtId="6" fontId="12" fillId="0" borderId="1" xfId="0" applyNumberFormat="1" applyFont="1" applyBorder="1" applyAlignment="1">
      <alignment horizontal="center" vertical="center" wrapText="1"/>
    </xf>
    <xf numFmtId="166" fontId="12" fillId="0" borderId="1" xfId="1" applyNumberFormat="1" applyFont="1" applyBorder="1" applyAlignment="1">
      <alignment vertical="center" wrapText="1"/>
    </xf>
    <xf numFmtId="164" fontId="12" fillId="0" borderId="1" xfId="0" applyNumberFormat="1" applyFont="1" applyBorder="1" applyAlignment="1">
      <alignment horizontal="center" vertical="center" wrapText="1"/>
    </xf>
    <xf numFmtId="9" fontId="12" fillId="0" borderId="1" xfId="0" applyNumberFormat="1" applyFont="1" applyBorder="1" applyAlignment="1">
      <alignment horizontal="center" vertical="center" wrapText="1"/>
    </xf>
    <xf numFmtId="166" fontId="12" fillId="0" borderId="1" xfId="1" applyNumberFormat="1" applyFont="1" applyBorder="1" applyAlignment="1">
      <alignment horizontal="center" vertical="center" wrapText="1"/>
    </xf>
    <xf numFmtId="165" fontId="12"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165" fontId="12" fillId="0" borderId="8" xfId="0" applyNumberFormat="1" applyFont="1" applyBorder="1" applyAlignment="1">
      <alignment horizontal="center" vertical="center" wrapText="1"/>
    </xf>
    <xf numFmtId="0" fontId="0" fillId="0" borderId="31" xfId="0" applyBorder="1" applyAlignment="1">
      <alignment horizontal="center" vertical="center" wrapText="1"/>
    </xf>
    <xf numFmtId="0" fontId="1" fillId="0" borderId="11"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0" fillId="2" borderId="8" xfId="0" applyFont="1" applyFill="1" applyBorder="1" applyAlignment="1">
      <alignment horizontal="center"/>
    </xf>
    <xf numFmtId="0" fontId="0" fillId="2" borderId="8" xfId="0" applyFill="1" applyBorder="1" applyAlignment="1">
      <alignment horizontal="center"/>
    </xf>
    <xf numFmtId="0" fontId="10" fillId="2" borderId="1" xfId="0" applyFont="1" applyFill="1" applyBorder="1" applyAlignment="1">
      <alignment horizontal="center"/>
    </xf>
    <xf numFmtId="0" fontId="0" fillId="2" borderId="1" xfId="0" applyFill="1" applyBorder="1" applyAlignment="1">
      <alignment horizontal="center"/>
    </xf>
    <xf numFmtId="0" fontId="11" fillId="2" borderId="36" xfId="0" applyFont="1" applyFill="1" applyBorder="1" applyAlignment="1">
      <alignment horizontal="center"/>
    </xf>
    <xf numFmtId="0" fontId="1" fillId="2" borderId="37" xfId="0" applyFont="1" applyFill="1" applyBorder="1" applyAlignment="1">
      <alignment horizontal="center"/>
    </xf>
    <xf numFmtId="0" fontId="1" fillId="2" borderId="40" xfId="0" applyFont="1" applyFill="1" applyBorder="1" applyAlignment="1">
      <alignment horizontal="center"/>
    </xf>
  </cellXfs>
  <cellStyles count="4">
    <cellStyle name="Comma" xfId="1" builtinId="3"/>
    <cellStyle name="Hyperlink" xfId="3"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 Market</a:t>
            </a:r>
            <a:r>
              <a:rPr lang="en-IN" baseline="0"/>
              <a:t> Size( </a:t>
            </a:r>
            <a:r>
              <a:rPr lang="en-IN" sz="1400" b="0" i="0" u="none" strike="noStrike" baseline="0"/>
              <a:t>₹ Crore</a:t>
            </a:r>
            <a:r>
              <a:rPr lang="en-IN" baseline="0"/>
              <a: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stacked"/>
        <c:varyColors val="0"/>
        <c:ser>
          <c:idx val="0"/>
          <c:order val="0"/>
          <c:spPr>
            <a:solidFill>
              <a:schemeClr val="accent1"/>
            </a:solidFill>
            <a:ln>
              <a:noFill/>
            </a:ln>
            <a:effectLst/>
          </c:spPr>
          <c:invertIfNegative val="0"/>
          <c:cat>
            <c:strRef>
              <c:f>'Executive Summary'!$B$15:$B$19</c:f>
              <c:strCache>
                <c:ptCount val="5"/>
                <c:pt idx="0">
                  <c:v>TAM</c:v>
                </c:pt>
                <c:pt idx="2">
                  <c:v>SAM</c:v>
                </c:pt>
                <c:pt idx="4">
                  <c:v>SOM</c:v>
                </c:pt>
              </c:strCache>
            </c:strRef>
          </c:cat>
          <c:val>
            <c:numRef>
              <c:f>'Executive Summary'!$C$15:$C$19</c:f>
              <c:numCache>
                <c:formatCode>"₹"\ 0.00\ \C\r</c:formatCode>
                <c:ptCount val="5"/>
                <c:pt idx="0">
                  <c:v>595.55999999999995</c:v>
                </c:pt>
                <c:pt idx="2">
                  <c:v>238.23</c:v>
                </c:pt>
                <c:pt idx="4">
                  <c:v>11.91</c:v>
                </c:pt>
              </c:numCache>
            </c:numRef>
          </c:val>
          <c:extLst>
            <c:ext xmlns:c16="http://schemas.microsoft.com/office/drawing/2014/chart" uri="{C3380CC4-5D6E-409C-BE32-E72D297353CC}">
              <c16:uniqueId val="{00000000-CB16-4177-A8F8-59F322B82131}"/>
            </c:ext>
          </c:extLst>
        </c:ser>
        <c:dLbls>
          <c:showLegendKey val="0"/>
          <c:showVal val="0"/>
          <c:showCatName val="0"/>
          <c:showSerName val="0"/>
          <c:showPercent val="0"/>
          <c:showBubbleSize val="0"/>
        </c:dLbls>
        <c:gapWidth val="150"/>
        <c:overlap val="100"/>
        <c:axId val="9520656"/>
        <c:axId val="230908048"/>
      </c:barChart>
      <c:catAx>
        <c:axId val="952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908048"/>
        <c:crosses val="autoZero"/>
        <c:auto val="1"/>
        <c:lblAlgn val="ctr"/>
        <c:lblOffset val="100"/>
        <c:noMultiLvlLbl val="0"/>
      </c:catAx>
      <c:valAx>
        <c:axId val="2309080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C\r"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3810</xdr:colOff>
      <xdr:row>14</xdr:row>
      <xdr:rowOff>5051</xdr:rowOff>
    </xdr:from>
    <xdr:to>
      <xdr:col>4</xdr:col>
      <xdr:colOff>1764030</xdr:colOff>
      <xdr:row>19</xdr:row>
      <xdr:rowOff>384811</xdr:rowOff>
    </xdr:to>
    <xdr:graphicFrame macro="">
      <xdr:nvGraphicFramePr>
        <xdr:cNvPr id="2" name="Chart 1">
          <a:extLst>
            <a:ext uri="{FF2B5EF4-FFF2-40B4-BE49-F238E27FC236}">
              <a16:creationId xmlns:a16="http://schemas.microsoft.com/office/drawing/2014/main" id="{A89F19F5-B198-F61F-0AC9-1918705F11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504825</xdr:colOff>
      <xdr:row>41</xdr:row>
      <xdr:rowOff>19050</xdr:rowOff>
    </xdr:to>
    <xdr:sp macro="" textlink="">
      <xdr:nvSpPr>
        <xdr:cNvPr id="3073" name="_r_3dc_" descr="Generated image: Excel Market Sizing Model for Sprinto">
          <a:extLst>
            <a:ext uri="{FF2B5EF4-FFF2-40B4-BE49-F238E27FC236}">
              <a16:creationId xmlns:a16="http://schemas.microsoft.com/office/drawing/2014/main" id="{00555D1D-DB3D-803F-11A5-B301D75436D2}"/>
            </a:ext>
          </a:extLst>
        </xdr:cNvPr>
        <xdr:cNvSpPr>
          <a:spLocks noChangeAspect="1" noChangeArrowheads="1"/>
        </xdr:cNvSpPr>
      </xdr:nvSpPr>
      <xdr:spPr bwMode="auto">
        <a:xfrm>
          <a:off x="0" y="0"/>
          <a:ext cx="17068800" cy="83534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xdr:row>
      <xdr:rowOff>0</xdr:rowOff>
    </xdr:from>
    <xdr:to>
      <xdr:col>20</xdr:col>
      <xdr:colOff>504825</xdr:colOff>
      <xdr:row>92</xdr:row>
      <xdr:rowOff>28575</xdr:rowOff>
    </xdr:to>
    <xdr:sp macro="" textlink="">
      <xdr:nvSpPr>
        <xdr:cNvPr id="3074" name="AutoShape 2">
          <a:extLst>
            <a:ext uri="{FF2B5EF4-FFF2-40B4-BE49-F238E27FC236}">
              <a16:creationId xmlns:a16="http://schemas.microsoft.com/office/drawing/2014/main" id="{AB9E1BF4-0505-CDDF-B205-7DFC79C82D15}"/>
            </a:ext>
          </a:extLst>
        </xdr:cNvPr>
        <xdr:cNvSpPr>
          <a:spLocks noChangeAspect="1" noChangeArrowheads="1"/>
        </xdr:cNvSpPr>
      </xdr:nvSpPr>
      <xdr:spPr bwMode="auto">
        <a:xfrm>
          <a:off x="0" y="8324850"/>
          <a:ext cx="17068800" cy="83534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92</xdr:row>
      <xdr:rowOff>0</xdr:rowOff>
    </xdr:from>
    <xdr:to>
      <xdr:col>0</xdr:col>
      <xdr:colOff>304800</xdr:colOff>
      <xdr:row>93</xdr:row>
      <xdr:rowOff>123825</xdr:rowOff>
    </xdr:to>
    <xdr:sp macro="" textlink="">
      <xdr:nvSpPr>
        <xdr:cNvPr id="3075" name="AutoShape 3">
          <a:extLst>
            <a:ext uri="{FF2B5EF4-FFF2-40B4-BE49-F238E27FC236}">
              <a16:creationId xmlns:a16="http://schemas.microsoft.com/office/drawing/2014/main" id="{56B67146-A609-D4A9-D312-ADACEAC43249}"/>
            </a:ext>
          </a:extLst>
        </xdr:cNvPr>
        <xdr:cNvSpPr>
          <a:spLocks noChangeAspect="1" noChangeArrowheads="1"/>
        </xdr:cNvSpPr>
      </xdr:nvSpPr>
      <xdr:spPr bwMode="auto">
        <a:xfrm>
          <a:off x="0" y="1664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94</xdr:row>
      <xdr:rowOff>0</xdr:rowOff>
    </xdr:from>
    <xdr:to>
      <xdr:col>22</xdr:col>
      <xdr:colOff>638175</xdr:colOff>
      <xdr:row>136</xdr:row>
      <xdr:rowOff>104775</xdr:rowOff>
    </xdr:to>
    <xdr:sp macro="" textlink="">
      <xdr:nvSpPr>
        <xdr:cNvPr id="3076" name="_r_3fr_" descr="Generated image: Sprinto India SaaS Market Sizing Worksheet">
          <a:extLst>
            <a:ext uri="{FF2B5EF4-FFF2-40B4-BE49-F238E27FC236}">
              <a16:creationId xmlns:a16="http://schemas.microsoft.com/office/drawing/2014/main" id="{02EF0BD3-4BED-B3E6-3522-C4AEDE58BA63}"/>
            </a:ext>
          </a:extLst>
        </xdr:cNvPr>
        <xdr:cNvSpPr>
          <a:spLocks noChangeAspect="1" noChangeArrowheads="1"/>
        </xdr:cNvSpPr>
      </xdr:nvSpPr>
      <xdr:spPr bwMode="auto">
        <a:xfrm>
          <a:off x="0" y="17011650"/>
          <a:ext cx="18497550" cy="77057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136</xdr:row>
      <xdr:rowOff>0</xdr:rowOff>
    </xdr:from>
    <xdr:to>
      <xdr:col>22</xdr:col>
      <xdr:colOff>638175</xdr:colOff>
      <xdr:row>178</xdr:row>
      <xdr:rowOff>104775</xdr:rowOff>
    </xdr:to>
    <xdr:sp macro="" textlink="">
      <xdr:nvSpPr>
        <xdr:cNvPr id="3077" name="AutoShape 5">
          <a:extLst>
            <a:ext uri="{FF2B5EF4-FFF2-40B4-BE49-F238E27FC236}">
              <a16:creationId xmlns:a16="http://schemas.microsoft.com/office/drawing/2014/main" id="{A0B9D138-FC70-0398-2388-BF81C1F29C5B}"/>
            </a:ext>
          </a:extLst>
        </xdr:cNvPr>
        <xdr:cNvSpPr>
          <a:spLocks noChangeAspect="1" noChangeArrowheads="1"/>
        </xdr:cNvSpPr>
      </xdr:nvSpPr>
      <xdr:spPr bwMode="auto">
        <a:xfrm>
          <a:off x="0" y="24612600"/>
          <a:ext cx="18497550" cy="77057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178</xdr:row>
      <xdr:rowOff>0</xdr:rowOff>
    </xdr:from>
    <xdr:to>
      <xdr:col>0</xdr:col>
      <xdr:colOff>304800</xdr:colOff>
      <xdr:row>179</xdr:row>
      <xdr:rowOff>123825</xdr:rowOff>
    </xdr:to>
    <xdr:sp macro="" textlink="">
      <xdr:nvSpPr>
        <xdr:cNvPr id="3078" name="AutoShape 6">
          <a:extLst>
            <a:ext uri="{FF2B5EF4-FFF2-40B4-BE49-F238E27FC236}">
              <a16:creationId xmlns:a16="http://schemas.microsoft.com/office/drawing/2014/main" id="{971CC23D-00DB-9309-9A24-9AB46303206F}"/>
            </a:ext>
          </a:extLst>
        </xdr:cNvPr>
        <xdr:cNvSpPr>
          <a:spLocks noChangeAspect="1" noChangeArrowheads="1"/>
        </xdr:cNvSpPr>
      </xdr:nvSpPr>
      <xdr:spPr bwMode="auto">
        <a:xfrm>
          <a:off x="0" y="32213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180</xdr:row>
      <xdr:rowOff>0</xdr:rowOff>
    </xdr:from>
    <xdr:to>
      <xdr:col>16</xdr:col>
      <xdr:colOff>104775</xdr:colOff>
      <xdr:row>226</xdr:row>
      <xdr:rowOff>114300</xdr:rowOff>
    </xdr:to>
    <xdr:sp macro="" textlink="">
      <xdr:nvSpPr>
        <xdr:cNvPr id="3079" name="AutoShape 7">
          <a:extLst>
            <a:ext uri="{FF2B5EF4-FFF2-40B4-BE49-F238E27FC236}">
              <a16:creationId xmlns:a16="http://schemas.microsoft.com/office/drawing/2014/main" id="{4EA7A924-9B1E-7A1B-D0B2-85B9C3DD6C76}"/>
            </a:ext>
          </a:extLst>
        </xdr:cNvPr>
        <xdr:cNvSpPr>
          <a:spLocks noChangeAspect="1" noChangeArrowheads="1"/>
        </xdr:cNvSpPr>
      </xdr:nvSpPr>
      <xdr:spPr bwMode="auto">
        <a:xfrm>
          <a:off x="0" y="32575500"/>
          <a:ext cx="14077950" cy="8439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227</xdr:row>
      <xdr:rowOff>0</xdr:rowOff>
    </xdr:from>
    <xdr:to>
      <xdr:col>20</xdr:col>
      <xdr:colOff>47625</xdr:colOff>
      <xdr:row>262</xdr:row>
      <xdr:rowOff>142875</xdr:rowOff>
    </xdr:to>
    <xdr:sp macro="" textlink="">
      <xdr:nvSpPr>
        <xdr:cNvPr id="3080" name="AutoShape 8">
          <a:extLst>
            <a:ext uri="{FF2B5EF4-FFF2-40B4-BE49-F238E27FC236}">
              <a16:creationId xmlns:a16="http://schemas.microsoft.com/office/drawing/2014/main" id="{C49B4A6E-54B5-A054-DFAB-8EC1781E1F6D}"/>
            </a:ext>
          </a:extLst>
        </xdr:cNvPr>
        <xdr:cNvSpPr>
          <a:spLocks noChangeAspect="1" noChangeArrowheads="1"/>
        </xdr:cNvSpPr>
      </xdr:nvSpPr>
      <xdr:spPr bwMode="auto">
        <a:xfrm>
          <a:off x="0" y="41081325"/>
          <a:ext cx="16611600" cy="6477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263</xdr:row>
      <xdr:rowOff>0</xdr:rowOff>
    </xdr:from>
    <xdr:to>
      <xdr:col>22</xdr:col>
      <xdr:colOff>9525</xdr:colOff>
      <xdr:row>300</xdr:row>
      <xdr:rowOff>104775</xdr:rowOff>
    </xdr:to>
    <xdr:sp macro="" textlink="">
      <xdr:nvSpPr>
        <xdr:cNvPr id="3081" name="AutoShape 9">
          <a:extLst>
            <a:ext uri="{FF2B5EF4-FFF2-40B4-BE49-F238E27FC236}">
              <a16:creationId xmlns:a16="http://schemas.microsoft.com/office/drawing/2014/main" id="{444DC8AA-C0D8-B263-825F-5146B8EA2320}"/>
            </a:ext>
          </a:extLst>
        </xdr:cNvPr>
        <xdr:cNvSpPr>
          <a:spLocks noChangeAspect="1" noChangeArrowheads="1"/>
        </xdr:cNvSpPr>
      </xdr:nvSpPr>
      <xdr:spPr bwMode="auto">
        <a:xfrm>
          <a:off x="0" y="47596425"/>
          <a:ext cx="17868900" cy="68008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301</xdr:row>
      <xdr:rowOff>0</xdr:rowOff>
    </xdr:from>
    <xdr:to>
      <xdr:col>21</xdr:col>
      <xdr:colOff>600075</xdr:colOff>
      <xdr:row>344</xdr:row>
      <xdr:rowOff>161925</xdr:rowOff>
    </xdr:to>
    <xdr:sp macro="" textlink="">
      <xdr:nvSpPr>
        <xdr:cNvPr id="3082" name="AutoShape 10">
          <a:extLst>
            <a:ext uri="{FF2B5EF4-FFF2-40B4-BE49-F238E27FC236}">
              <a16:creationId xmlns:a16="http://schemas.microsoft.com/office/drawing/2014/main" id="{7AE7E65F-C5F4-5D72-C6A5-CF71E8DB5CC4}"/>
            </a:ext>
          </a:extLst>
        </xdr:cNvPr>
        <xdr:cNvSpPr>
          <a:spLocks noChangeAspect="1" noChangeArrowheads="1"/>
        </xdr:cNvSpPr>
      </xdr:nvSpPr>
      <xdr:spPr bwMode="auto">
        <a:xfrm>
          <a:off x="0" y="54473475"/>
          <a:ext cx="17811750" cy="79438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345</xdr:row>
      <xdr:rowOff>0</xdr:rowOff>
    </xdr:from>
    <xdr:to>
      <xdr:col>24</xdr:col>
      <xdr:colOff>85725</xdr:colOff>
      <xdr:row>393</xdr:row>
      <xdr:rowOff>38100</xdr:rowOff>
    </xdr:to>
    <xdr:sp macro="" textlink="">
      <xdr:nvSpPr>
        <xdr:cNvPr id="3083" name="AutoShape 11">
          <a:extLst>
            <a:ext uri="{FF2B5EF4-FFF2-40B4-BE49-F238E27FC236}">
              <a16:creationId xmlns:a16="http://schemas.microsoft.com/office/drawing/2014/main" id="{80B050CA-8504-0E18-5414-93EC738F9A73}"/>
            </a:ext>
          </a:extLst>
        </xdr:cNvPr>
        <xdr:cNvSpPr>
          <a:spLocks noChangeAspect="1" noChangeArrowheads="1"/>
        </xdr:cNvSpPr>
      </xdr:nvSpPr>
      <xdr:spPr bwMode="auto">
        <a:xfrm>
          <a:off x="0" y="62436375"/>
          <a:ext cx="19240500" cy="87249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393</xdr:row>
      <xdr:rowOff>0</xdr:rowOff>
    </xdr:from>
    <xdr:to>
      <xdr:col>24</xdr:col>
      <xdr:colOff>219075</xdr:colOff>
      <xdr:row>434</xdr:row>
      <xdr:rowOff>66675</xdr:rowOff>
    </xdr:to>
    <xdr:sp macro="" textlink="">
      <xdr:nvSpPr>
        <xdr:cNvPr id="3084" name="AutoShape 12">
          <a:extLst>
            <a:ext uri="{FF2B5EF4-FFF2-40B4-BE49-F238E27FC236}">
              <a16:creationId xmlns:a16="http://schemas.microsoft.com/office/drawing/2014/main" id="{D17F149E-AFFB-08EC-F848-83FE7FA58847}"/>
            </a:ext>
          </a:extLst>
        </xdr:cNvPr>
        <xdr:cNvSpPr>
          <a:spLocks noChangeAspect="1" noChangeArrowheads="1"/>
        </xdr:cNvSpPr>
      </xdr:nvSpPr>
      <xdr:spPr bwMode="auto">
        <a:xfrm>
          <a:off x="0" y="71123175"/>
          <a:ext cx="19373850" cy="74866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434</xdr:row>
      <xdr:rowOff>0</xdr:rowOff>
    </xdr:from>
    <xdr:to>
      <xdr:col>24</xdr:col>
      <xdr:colOff>352425</xdr:colOff>
      <xdr:row>472</xdr:row>
      <xdr:rowOff>104775</xdr:rowOff>
    </xdr:to>
    <xdr:sp macro="" textlink="">
      <xdr:nvSpPr>
        <xdr:cNvPr id="3085" name="AutoShape 13">
          <a:extLst>
            <a:ext uri="{FF2B5EF4-FFF2-40B4-BE49-F238E27FC236}">
              <a16:creationId xmlns:a16="http://schemas.microsoft.com/office/drawing/2014/main" id="{0DC216ED-3E6A-E0A5-D291-61C62B6AF940}"/>
            </a:ext>
          </a:extLst>
        </xdr:cNvPr>
        <xdr:cNvSpPr>
          <a:spLocks noChangeAspect="1" noChangeArrowheads="1"/>
        </xdr:cNvSpPr>
      </xdr:nvSpPr>
      <xdr:spPr bwMode="auto">
        <a:xfrm>
          <a:off x="0" y="78543150"/>
          <a:ext cx="19507200" cy="69818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20</xdr:col>
      <xdr:colOff>504825</xdr:colOff>
      <xdr:row>41</xdr:row>
      <xdr:rowOff>19050</xdr:rowOff>
    </xdr:to>
    <xdr:sp macro="" textlink="">
      <xdr:nvSpPr>
        <xdr:cNvPr id="3086" name="_r_3dc_" descr="Generated image: Excel Market Sizing Model for Sprinto">
          <a:extLst>
            <a:ext uri="{FF2B5EF4-FFF2-40B4-BE49-F238E27FC236}">
              <a16:creationId xmlns:a16="http://schemas.microsoft.com/office/drawing/2014/main" id="{24FC37D3-3B29-4CA9-A8B5-8EB81AA90DF1}"/>
            </a:ext>
          </a:extLst>
        </xdr:cNvPr>
        <xdr:cNvSpPr>
          <a:spLocks noChangeAspect="1" noChangeArrowheads="1"/>
        </xdr:cNvSpPr>
      </xdr:nvSpPr>
      <xdr:spPr bwMode="auto">
        <a:xfrm>
          <a:off x="0" y="0"/>
          <a:ext cx="17068800" cy="83534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xdr:row>
      <xdr:rowOff>0</xdr:rowOff>
    </xdr:from>
    <xdr:to>
      <xdr:col>20</xdr:col>
      <xdr:colOff>504825</xdr:colOff>
      <xdr:row>92</xdr:row>
      <xdr:rowOff>28575</xdr:rowOff>
    </xdr:to>
    <xdr:sp macro="" textlink="">
      <xdr:nvSpPr>
        <xdr:cNvPr id="3087" name="AutoShape 15">
          <a:extLst>
            <a:ext uri="{FF2B5EF4-FFF2-40B4-BE49-F238E27FC236}">
              <a16:creationId xmlns:a16="http://schemas.microsoft.com/office/drawing/2014/main" id="{6BA4EF8D-2C74-9234-4102-A79449F03537}"/>
            </a:ext>
          </a:extLst>
        </xdr:cNvPr>
        <xdr:cNvSpPr>
          <a:spLocks noChangeAspect="1" noChangeArrowheads="1"/>
        </xdr:cNvSpPr>
      </xdr:nvSpPr>
      <xdr:spPr bwMode="auto">
        <a:xfrm>
          <a:off x="0" y="8324850"/>
          <a:ext cx="17068800" cy="83534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92</xdr:row>
      <xdr:rowOff>0</xdr:rowOff>
    </xdr:from>
    <xdr:to>
      <xdr:col>0</xdr:col>
      <xdr:colOff>304800</xdr:colOff>
      <xdr:row>93</xdr:row>
      <xdr:rowOff>123825</xdr:rowOff>
    </xdr:to>
    <xdr:sp macro="" textlink="">
      <xdr:nvSpPr>
        <xdr:cNvPr id="3088" name="AutoShape 16">
          <a:extLst>
            <a:ext uri="{FF2B5EF4-FFF2-40B4-BE49-F238E27FC236}">
              <a16:creationId xmlns:a16="http://schemas.microsoft.com/office/drawing/2014/main" id="{F95D6D53-1430-B97E-9EC2-D13DCBAE6327}"/>
            </a:ext>
          </a:extLst>
        </xdr:cNvPr>
        <xdr:cNvSpPr>
          <a:spLocks noChangeAspect="1" noChangeArrowheads="1"/>
        </xdr:cNvSpPr>
      </xdr:nvSpPr>
      <xdr:spPr bwMode="auto">
        <a:xfrm>
          <a:off x="0" y="1664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94</xdr:row>
      <xdr:rowOff>0</xdr:rowOff>
    </xdr:from>
    <xdr:to>
      <xdr:col>22</xdr:col>
      <xdr:colOff>638175</xdr:colOff>
      <xdr:row>136</xdr:row>
      <xdr:rowOff>104775</xdr:rowOff>
    </xdr:to>
    <xdr:sp macro="" textlink="">
      <xdr:nvSpPr>
        <xdr:cNvPr id="3089" name="_r_3fr_" descr="Generated image: Sprinto India SaaS Market Sizing Worksheet">
          <a:extLst>
            <a:ext uri="{FF2B5EF4-FFF2-40B4-BE49-F238E27FC236}">
              <a16:creationId xmlns:a16="http://schemas.microsoft.com/office/drawing/2014/main" id="{B3A17905-DF72-5395-BF76-AC3665CF03B8}"/>
            </a:ext>
          </a:extLst>
        </xdr:cNvPr>
        <xdr:cNvSpPr>
          <a:spLocks noChangeAspect="1" noChangeArrowheads="1"/>
        </xdr:cNvSpPr>
      </xdr:nvSpPr>
      <xdr:spPr bwMode="auto">
        <a:xfrm>
          <a:off x="0" y="17011650"/>
          <a:ext cx="18497550" cy="77057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136</xdr:row>
      <xdr:rowOff>0</xdr:rowOff>
    </xdr:from>
    <xdr:to>
      <xdr:col>22</xdr:col>
      <xdr:colOff>638175</xdr:colOff>
      <xdr:row>178</xdr:row>
      <xdr:rowOff>104775</xdr:rowOff>
    </xdr:to>
    <xdr:sp macro="" textlink="">
      <xdr:nvSpPr>
        <xdr:cNvPr id="3090" name="AutoShape 18">
          <a:extLst>
            <a:ext uri="{FF2B5EF4-FFF2-40B4-BE49-F238E27FC236}">
              <a16:creationId xmlns:a16="http://schemas.microsoft.com/office/drawing/2014/main" id="{FDC4DD84-F411-4F9F-B60D-EFBCEE3354A2}"/>
            </a:ext>
          </a:extLst>
        </xdr:cNvPr>
        <xdr:cNvSpPr>
          <a:spLocks noChangeAspect="1" noChangeArrowheads="1"/>
        </xdr:cNvSpPr>
      </xdr:nvSpPr>
      <xdr:spPr bwMode="auto">
        <a:xfrm>
          <a:off x="0" y="24612600"/>
          <a:ext cx="18497550" cy="77057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178</xdr:row>
      <xdr:rowOff>0</xdr:rowOff>
    </xdr:from>
    <xdr:to>
      <xdr:col>0</xdr:col>
      <xdr:colOff>304800</xdr:colOff>
      <xdr:row>179</xdr:row>
      <xdr:rowOff>123825</xdr:rowOff>
    </xdr:to>
    <xdr:sp macro="" textlink="">
      <xdr:nvSpPr>
        <xdr:cNvPr id="3091" name="AutoShape 19">
          <a:extLst>
            <a:ext uri="{FF2B5EF4-FFF2-40B4-BE49-F238E27FC236}">
              <a16:creationId xmlns:a16="http://schemas.microsoft.com/office/drawing/2014/main" id="{78253306-E980-CBB8-F74D-0315C62D7673}"/>
            </a:ext>
          </a:extLst>
        </xdr:cNvPr>
        <xdr:cNvSpPr>
          <a:spLocks noChangeAspect="1" noChangeArrowheads="1"/>
        </xdr:cNvSpPr>
      </xdr:nvSpPr>
      <xdr:spPr bwMode="auto">
        <a:xfrm>
          <a:off x="0" y="32213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180</xdr:row>
      <xdr:rowOff>0</xdr:rowOff>
    </xdr:from>
    <xdr:to>
      <xdr:col>16</xdr:col>
      <xdr:colOff>104775</xdr:colOff>
      <xdr:row>226</xdr:row>
      <xdr:rowOff>114300</xdr:rowOff>
    </xdr:to>
    <xdr:sp macro="" textlink="">
      <xdr:nvSpPr>
        <xdr:cNvPr id="3092" name="AutoShape 20">
          <a:extLst>
            <a:ext uri="{FF2B5EF4-FFF2-40B4-BE49-F238E27FC236}">
              <a16:creationId xmlns:a16="http://schemas.microsoft.com/office/drawing/2014/main" id="{76F4534B-B918-D661-36B4-C8AF17AD9087}"/>
            </a:ext>
          </a:extLst>
        </xdr:cNvPr>
        <xdr:cNvSpPr>
          <a:spLocks noChangeAspect="1" noChangeArrowheads="1"/>
        </xdr:cNvSpPr>
      </xdr:nvSpPr>
      <xdr:spPr bwMode="auto">
        <a:xfrm>
          <a:off x="0" y="32575500"/>
          <a:ext cx="14077950" cy="8439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227</xdr:row>
      <xdr:rowOff>0</xdr:rowOff>
    </xdr:from>
    <xdr:to>
      <xdr:col>20</xdr:col>
      <xdr:colOff>47625</xdr:colOff>
      <xdr:row>262</xdr:row>
      <xdr:rowOff>142875</xdr:rowOff>
    </xdr:to>
    <xdr:sp macro="" textlink="">
      <xdr:nvSpPr>
        <xdr:cNvPr id="3093" name="AutoShape 21">
          <a:extLst>
            <a:ext uri="{FF2B5EF4-FFF2-40B4-BE49-F238E27FC236}">
              <a16:creationId xmlns:a16="http://schemas.microsoft.com/office/drawing/2014/main" id="{5BF73A89-BF13-BFC5-AC07-66ED5CEE308E}"/>
            </a:ext>
          </a:extLst>
        </xdr:cNvPr>
        <xdr:cNvSpPr>
          <a:spLocks noChangeAspect="1" noChangeArrowheads="1"/>
        </xdr:cNvSpPr>
      </xdr:nvSpPr>
      <xdr:spPr bwMode="auto">
        <a:xfrm>
          <a:off x="0" y="41081325"/>
          <a:ext cx="16611600" cy="6477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263</xdr:row>
      <xdr:rowOff>0</xdr:rowOff>
    </xdr:from>
    <xdr:to>
      <xdr:col>22</xdr:col>
      <xdr:colOff>9525</xdr:colOff>
      <xdr:row>300</xdr:row>
      <xdr:rowOff>104775</xdr:rowOff>
    </xdr:to>
    <xdr:sp macro="" textlink="">
      <xdr:nvSpPr>
        <xdr:cNvPr id="3094" name="AutoShape 22">
          <a:extLst>
            <a:ext uri="{FF2B5EF4-FFF2-40B4-BE49-F238E27FC236}">
              <a16:creationId xmlns:a16="http://schemas.microsoft.com/office/drawing/2014/main" id="{AAB7E483-1450-B153-2C60-A73DF70037E2}"/>
            </a:ext>
          </a:extLst>
        </xdr:cNvPr>
        <xdr:cNvSpPr>
          <a:spLocks noChangeAspect="1" noChangeArrowheads="1"/>
        </xdr:cNvSpPr>
      </xdr:nvSpPr>
      <xdr:spPr bwMode="auto">
        <a:xfrm>
          <a:off x="0" y="47596425"/>
          <a:ext cx="17868900" cy="68008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301</xdr:row>
      <xdr:rowOff>0</xdr:rowOff>
    </xdr:from>
    <xdr:to>
      <xdr:col>21</xdr:col>
      <xdr:colOff>600075</xdr:colOff>
      <xdr:row>344</xdr:row>
      <xdr:rowOff>161925</xdr:rowOff>
    </xdr:to>
    <xdr:sp macro="" textlink="">
      <xdr:nvSpPr>
        <xdr:cNvPr id="3095" name="AutoShape 23">
          <a:extLst>
            <a:ext uri="{FF2B5EF4-FFF2-40B4-BE49-F238E27FC236}">
              <a16:creationId xmlns:a16="http://schemas.microsoft.com/office/drawing/2014/main" id="{018CFA3D-FC13-6E15-DB99-3C574A216564}"/>
            </a:ext>
          </a:extLst>
        </xdr:cNvPr>
        <xdr:cNvSpPr>
          <a:spLocks noChangeAspect="1" noChangeArrowheads="1"/>
        </xdr:cNvSpPr>
      </xdr:nvSpPr>
      <xdr:spPr bwMode="auto">
        <a:xfrm>
          <a:off x="0" y="54473475"/>
          <a:ext cx="17811750" cy="79438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345</xdr:row>
      <xdr:rowOff>0</xdr:rowOff>
    </xdr:from>
    <xdr:to>
      <xdr:col>24</xdr:col>
      <xdr:colOff>85725</xdr:colOff>
      <xdr:row>393</xdr:row>
      <xdr:rowOff>38100</xdr:rowOff>
    </xdr:to>
    <xdr:sp macro="" textlink="">
      <xdr:nvSpPr>
        <xdr:cNvPr id="3096" name="AutoShape 24">
          <a:extLst>
            <a:ext uri="{FF2B5EF4-FFF2-40B4-BE49-F238E27FC236}">
              <a16:creationId xmlns:a16="http://schemas.microsoft.com/office/drawing/2014/main" id="{D69D6F2C-A908-D4B6-EA0D-C15644882127}"/>
            </a:ext>
          </a:extLst>
        </xdr:cNvPr>
        <xdr:cNvSpPr>
          <a:spLocks noChangeAspect="1" noChangeArrowheads="1"/>
        </xdr:cNvSpPr>
      </xdr:nvSpPr>
      <xdr:spPr bwMode="auto">
        <a:xfrm>
          <a:off x="0" y="62436375"/>
          <a:ext cx="19240500" cy="87249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393</xdr:row>
      <xdr:rowOff>0</xdr:rowOff>
    </xdr:from>
    <xdr:to>
      <xdr:col>24</xdr:col>
      <xdr:colOff>219075</xdr:colOff>
      <xdr:row>434</xdr:row>
      <xdr:rowOff>66675</xdr:rowOff>
    </xdr:to>
    <xdr:sp macro="" textlink="">
      <xdr:nvSpPr>
        <xdr:cNvPr id="3097" name="AutoShape 25">
          <a:extLst>
            <a:ext uri="{FF2B5EF4-FFF2-40B4-BE49-F238E27FC236}">
              <a16:creationId xmlns:a16="http://schemas.microsoft.com/office/drawing/2014/main" id="{FDF17BD8-6E79-7F71-4FC0-48F889222A42}"/>
            </a:ext>
          </a:extLst>
        </xdr:cNvPr>
        <xdr:cNvSpPr>
          <a:spLocks noChangeAspect="1" noChangeArrowheads="1"/>
        </xdr:cNvSpPr>
      </xdr:nvSpPr>
      <xdr:spPr bwMode="auto">
        <a:xfrm>
          <a:off x="0" y="71123175"/>
          <a:ext cx="19373850" cy="74866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434</xdr:row>
      <xdr:rowOff>0</xdr:rowOff>
    </xdr:from>
    <xdr:to>
      <xdr:col>24</xdr:col>
      <xdr:colOff>352425</xdr:colOff>
      <xdr:row>472</xdr:row>
      <xdr:rowOff>104775</xdr:rowOff>
    </xdr:to>
    <xdr:sp macro="" textlink="">
      <xdr:nvSpPr>
        <xdr:cNvPr id="3098" name="AutoShape 26">
          <a:extLst>
            <a:ext uri="{FF2B5EF4-FFF2-40B4-BE49-F238E27FC236}">
              <a16:creationId xmlns:a16="http://schemas.microsoft.com/office/drawing/2014/main" id="{F782525A-4EB0-0D4C-C78D-A81FA2DD37B0}"/>
            </a:ext>
          </a:extLst>
        </xdr:cNvPr>
        <xdr:cNvSpPr>
          <a:spLocks noChangeAspect="1" noChangeArrowheads="1"/>
        </xdr:cNvSpPr>
      </xdr:nvSpPr>
      <xdr:spPr bwMode="auto">
        <a:xfrm>
          <a:off x="0" y="78543150"/>
          <a:ext cx="19507200" cy="69818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scrut.io/" TargetMode="External"/><Relationship Id="rId2" Type="http://schemas.openxmlformats.org/officeDocument/2006/relationships/hyperlink" Target="https://sprinto.com/pricing/" TargetMode="External"/><Relationship Id="rId1" Type="http://schemas.openxmlformats.org/officeDocument/2006/relationships/hyperlink" Target="https://saasbrowser.com/en/list-of-saas-in-IN" TargetMode="External"/><Relationship Id="rId5" Type="http://schemas.openxmlformats.org/officeDocument/2006/relationships/hyperlink" Target="https://drata.com/products/compliance-automation" TargetMode="External"/><Relationship Id="rId4" Type="http://schemas.openxmlformats.org/officeDocument/2006/relationships/hyperlink" Target="https://www.vanta.com/featur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511C1-245E-4036-ACAC-08D6998F1EEA}">
  <dimension ref="A1:P37"/>
  <sheetViews>
    <sheetView tabSelected="1" zoomScale="65" zoomScaleNormal="70" workbookViewId="0">
      <selection activeCell="G6" sqref="G6:J11"/>
    </sheetView>
  </sheetViews>
  <sheetFormatPr defaultRowHeight="14.25"/>
  <cols>
    <col min="1" max="1" width="2.1328125" customWidth="1"/>
    <col min="2" max="2" width="12.53125" customWidth="1"/>
    <col min="3" max="3" width="13.59765625" customWidth="1"/>
    <col min="4" max="4" width="17.796875" customWidth="1"/>
    <col min="5" max="5" width="24.9296875" customWidth="1"/>
    <col min="6" max="6" width="1.59765625" customWidth="1"/>
    <col min="7" max="7" width="13.9296875" customWidth="1"/>
    <col min="8" max="8" width="19.06640625" customWidth="1"/>
    <col min="9" max="9" width="16.3984375" customWidth="1"/>
    <col min="10" max="10" width="22.53125" customWidth="1"/>
    <col min="11" max="11" width="1.796875" customWidth="1"/>
  </cols>
  <sheetData>
    <row r="1" spans="1:15" ht="14.25" customHeight="1">
      <c r="A1" s="91" t="s">
        <v>108</v>
      </c>
      <c r="B1" s="92"/>
      <c r="C1" s="92"/>
      <c r="D1" s="92"/>
      <c r="E1" s="92"/>
      <c r="F1" s="92"/>
      <c r="G1" s="92"/>
      <c r="H1" s="92"/>
      <c r="I1" s="92"/>
      <c r="J1" s="92"/>
      <c r="K1" s="92"/>
      <c r="L1" s="92"/>
      <c r="M1" s="92"/>
      <c r="N1" s="92"/>
      <c r="O1" s="93"/>
    </row>
    <row r="2" spans="1:15" ht="14.25" customHeight="1">
      <c r="A2" s="94"/>
      <c r="B2" s="95"/>
      <c r="C2" s="95"/>
      <c r="D2" s="95"/>
      <c r="E2" s="95"/>
      <c r="F2" s="95"/>
      <c r="G2" s="95"/>
      <c r="H2" s="95"/>
      <c r="I2" s="95"/>
      <c r="J2" s="95"/>
      <c r="K2" s="95"/>
      <c r="L2" s="95"/>
      <c r="M2" s="95"/>
      <c r="N2" s="95"/>
      <c r="O2" s="96"/>
    </row>
    <row r="3" spans="1:15" ht="15.75">
      <c r="A3" s="97" t="s">
        <v>109</v>
      </c>
      <c r="B3" s="98"/>
      <c r="C3" s="98"/>
      <c r="D3" s="98"/>
      <c r="E3" s="98"/>
      <c r="F3" s="98"/>
      <c r="G3" s="98"/>
      <c r="H3" s="98"/>
      <c r="I3" s="98"/>
      <c r="J3" s="98"/>
      <c r="K3" s="98"/>
      <c r="L3" s="98"/>
      <c r="M3" s="98"/>
      <c r="N3" s="98"/>
      <c r="O3" s="99"/>
    </row>
    <row r="4" spans="1:15" ht="14.65" thickBot="1">
      <c r="A4" s="56"/>
      <c r="O4" s="57"/>
    </row>
    <row r="5" spans="1:15" ht="21.4" customHeight="1" thickBot="1">
      <c r="A5" s="56"/>
      <c r="B5" s="78" t="s">
        <v>110</v>
      </c>
      <c r="C5" s="79"/>
      <c r="D5" s="79"/>
      <c r="E5" s="80"/>
      <c r="G5" s="81" t="s">
        <v>118</v>
      </c>
      <c r="H5" s="82"/>
      <c r="I5" s="82"/>
      <c r="J5" s="83"/>
      <c r="L5" s="107" t="s">
        <v>120</v>
      </c>
      <c r="M5" s="79"/>
      <c r="N5" s="79"/>
      <c r="O5" s="80"/>
    </row>
    <row r="6" spans="1:15" ht="24" customHeight="1" thickBot="1">
      <c r="A6" s="56"/>
      <c r="B6" s="59" t="s">
        <v>111</v>
      </c>
      <c r="C6" s="75" t="s">
        <v>108</v>
      </c>
      <c r="D6" s="76"/>
      <c r="E6" s="77"/>
      <c r="G6" s="84" t="s">
        <v>119</v>
      </c>
      <c r="H6" s="85"/>
      <c r="I6" s="85"/>
      <c r="J6" s="86"/>
      <c r="L6" s="108" t="s">
        <v>121</v>
      </c>
      <c r="M6" s="100"/>
      <c r="N6" s="100" t="s">
        <v>83</v>
      </c>
      <c r="O6" s="101"/>
    </row>
    <row r="7" spans="1:15" ht="20.65" customHeight="1">
      <c r="A7" s="56"/>
      <c r="B7" s="55" t="s">
        <v>112</v>
      </c>
      <c r="C7" s="69" t="s">
        <v>113</v>
      </c>
      <c r="D7" s="70"/>
      <c r="E7" s="71"/>
      <c r="G7" s="87"/>
      <c r="H7" s="85"/>
      <c r="I7" s="85"/>
      <c r="J7" s="86"/>
      <c r="L7" s="109" t="s">
        <v>122</v>
      </c>
      <c r="M7" s="110"/>
      <c r="N7" s="102">
        <f>'Market Sizing'!E5</f>
        <v>595.55999999999995</v>
      </c>
      <c r="O7" s="103"/>
    </row>
    <row r="8" spans="1:15" ht="19.5" customHeight="1">
      <c r="A8" s="56"/>
      <c r="B8" s="55"/>
      <c r="C8" s="72"/>
      <c r="D8" s="73"/>
      <c r="E8" s="74"/>
      <c r="G8" s="87"/>
      <c r="H8" s="85"/>
      <c r="I8" s="85"/>
      <c r="J8" s="86"/>
      <c r="L8" s="87" t="s">
        <v>123</v>
      </c>
      <c r="M8" s="85"/>
      <c r="N8" s="104">
        <f>'Market Sizing'!E8</f>
        <v>238.23</v>
      </c>
      <c r="O8" s="105"/>
    </row>
    <row r="9" spans="1:15" ht="27.4" customHeight="1">
      <c r="A9" s="56"/>
      <c r="B9" s="55" t="s">
        <v>114</v>
      </c>
      <c r="C9" s="66" t="s">
        <v>115</v>
      </c>
      <c r="D9" s="67"/>
      <c r="E9" s="68"/>
      <c r="G9" s="87"/>
      <c r="H9" s="85"/>
      <c r="I9" s="85"/>
      <c r="J9" s="86"/>
      <c r="L9" s="87" t="s">
        <v>57</v>
      </c>
      <c r="M9" s="85"/>
      <c r="N9" s="85">
        <f>'Market Sizing'!E10</f>
        <v>397</v>
      </c>
      <c r="O9" s="86"/>
    </row>
    <row r="10" spans="1:15" ht="16.899999999999999" customHeight="1">
      <c r="A10" s="56"/>
      <c r="B10" s="122" t="s">
        <v>116</v>
      </c>
      <c r="C10" s="69" t="s">
        <v>117</v>
      </c>
      <c r="D10" s="70"/>
      <c r="E10" s="71"/>
      <c r="G10" s="87"/>
      <c r="H10" s="85"/>
      <c r="I10" s="85"/>
      <c r="J10" s="86"/>
      <c r="L10" s="87" t="s">
        <v>124</v>
      </c>
      <c r="M10" s="85"/>
      <c r="N10" s="104">
        <f>'Market Sizing'!E11</f>
        <v>11.91</v>
      </c>
      <c r="O10" s="105"/>
    </row>
    <row r="11" spans="1:15" ht="17.25" customHeight="1" thickBot="1">
      <c r="A11" s="56"/>
      <c r="B11" s="123"/>
      <c r="C11" s="111"/>
      <c r="D11" s="112"/>
      <c r="E11" s="113"/>
      <c r="G11" s="88"/>
      <c r="H11" s="89"/>
      <c r="I11" s="89"/>
      <c r="J11" s="90"/>
      <c r="L11" s="87" t="s">
        <v>78</v>
      </c>
      <c r="M11" s="85"/>
      <c r="N11" s="149">
        <f>'Financial Model'!D15</f>
        <v>2.3820000000000006</v>
      </c>
      <c r="O11" s="150"/>
    </row>
    <row r="12" spans="1:15" ht="24.4" customHeight="1" thickBot="1">
      <c r="A12" s="56"/>
      <c r="L12" s="88" t="s">
        <v>80</v>
      </c>
      <c r="M12" s="89"/>
      <c r="N12" s="120">
        <f>'Financial Model'!D16</f>
        <v>0.20000000000000004</v>
      </c>
      <c r="O12" s="121"/>
    </row>
    <row r="13" spans="1:15" ht="6.4" customHeight="1" thickBot="1">
      <c r="A13" s="56"/>
      <c r="O13" s="57"/>
    </row>
    <row r="14" spans="1:15" ht="16.149999999999999" thickBot="1">
      <c r="A14" s="56"/>
      <c r="B14" s="117" t="s">
        <v>126</v>
      </c>
      <c r="C14" s="118"/>
      <c r="D14" s="118"/>
      <c r="E14" s="119"/>
      <c r="G14" s="81" t="s">
        <v>128</v>
      </c>
      <c r="H14" s="124"/>
      <c r="I14" s="124"/>
      <c r="J14" s="125"/>
      <c r="L14" s="114" t="s">
        <v>131</v>
      </c>
      <c r="M14" s="115"/>
      <c r="N14" s="115"/>
      <c r="O14" s="116"/>
    </row>
    <row r="15" spans="1:15" ht="20.25" customHeight="1" thickBot="1">
      <c r="A15" s="56"/>
      <c r="B15" s="131" t="s">
        <v>122</v>
      </c>
      <c r="C15" s="133">
        <f>'Market Sizing'!E5</f>
        <v>595.55999999999995</v>
      </c>
      <c r="D15" s="139"/>
      <c r="E15" s="140"/>
      <c r="G15" s="26" t="s">
        <v>127</v>
      </c>
      <c r="H15" s="4" t="s">
        <v>78</v>
      </c>
      <c r="I15" s="126" t="s">
        <v>80</v>
      </c>
      <c r="J15" s="127"/>
      <c r="L15" s="108" t="s">
        <v>121</v>
      </c>
      <c r="M15" s="100"/>
      <c r="N15" s="100" t="s">
        <v>129</v>
      </c>
      <c r="O15" s="101"/>
    </row>
    <row r="16" spans="1:15" ht="22.5" customHeight="1">
      <c r="A16" s="56"/>
      <c r="B16" s="132"/>
      <c r="C16" s="134"/>
      <c r="D16" s="139"/>
      <c r="E16" s="140"/>
      <c r="G16" s="9" t="s">
        <v>82</v>
      </c>
      <c r="H16" s="38">
        <f>Scenarios!B16</f>
        <v>0.11999999999999988</v>
      </c>
      <c r="I16" s="106">
        <f>Scenarios!B17</f>
        <v>2.9999999999999971E-2</v>
      </c>
      <c r="J16" s="128"/>
      <c r="L16" s="109" t="s">
        <v>130</v>
      </c>
      <c r="M16" s="110"/>
      <c r="N16" s="151">
        <f>'Market Sizing'!E11</f>
        <v>11.91</v>
      </c>
      <c r="O16" s="152"/>
    </row>
    <row r="17" spans="1:16">
      <c r="A17" s="56"/>
      <c r="B17" s="135" t="s">
        <v>123</v>
      </c>
      <c r="C17" s="136">
        <f>'Market Sizing'!E8</f>
        <v>238.23</v>
      </c>
      <c r="D17" s="139"/>
      <c r="E17" s="140"/>
      <c r="G17" s="9" t="s">
        <v>83</v>
      </c>
      <c r="H17" s="38">
        <f>Scenarios!C16</f>
        <v>2.3820000000000006</v>
      </c>
      <c r="I17" s="106">
        <f>Scenarios!C17</f>
        <v>0.20000000000000004</v>
      </c>
      <c r="J17" s="128"/>
      <c r="L17" s="87" t="s">
        <v>63</v>
      </c>
      <c r="M17" s="85"/>
      <c r="N17" s="104">
        <f>'Financial Model'!D6</f>
        <v>2.9775</v>
      </c>
      <c r="O17" s="105"/>
    </row>
    <row r="18" spans="1:16" ht="27" customHeight="1" thickBot="1">
      <c r="A18" s="56"/>
      <c r="B18" s="132"/>
      <c r="C18" s="134"/>
      <c r="D18" s="139"/>
      <c r="E18" s="140"/>
      <c r="G18" s="164" t="s">
        <v>84</v>
      </c>
      <c r="H18" s="65">
        <f>Scenarios!D16</f>
        <v>8.879999999999999</v>
      </c>
      <c r="I18" s="129">
        <f>Scenarios!D17</f>
        <v>0.36999999999999994</v>
      </c>
      <c r="J18" s="130"/>
      <c r="L18" s="87" t="s">
        <v>65</v>
      </c>
      <c r="M18" s="85"/>
      <c r="N18" s="104">
        <f>'Financial Model'!D7</f>
        <v>8.932500000000001</v>
      </c>
      <c r="O18" s="105"/>
    </row>
    <row r="19" spans="1:16">
      <c r="A19" s="56"/>
      <c r="B19" s="135" t="s">
        <v>125</v>
      </c>
      <c r="C19" s="136">
        <f>'Market Sizing'!E11</f>
        <v>11.91</v>
      </c>
      <c r="D19" s="139"/>
      <c r="E19" s="140"/>
      <c r="G19" s="143" t="s">
        <v>132</v>
      </c>
      <c r="H19" s="166" t="s">
        <v>133</v>
      </c>
      <c r="I19" s="166"/>
      <c r="J19" s="167"/>
      <c r="L19" s="87" t="s">
        <v>70</v>
      </c>
      <c r="M19" s="85"/>
      <c r="N19" s="104">
        <f>'Financial Model'!D10</f>
        <v>2.9775</v>
      </c>
      <c r="O19" s="105"/>
    </row>
    <row r="20" spans="1:16" ht="32.65" customHeight="1" thickBot="1">
      <c r="A20" s="56"/>
      <c r="B20" s="137"/>
      <c r="C20" s="138"/>
      <c r="D20" s="141"/>
      <c r="E20" s="142"/>
      <c r="G20" s="144"/>
      <c r="H20" s="89"/>
      <c r="I20" s="89"/>
      <c r="J20" s="90"/>
      <c r="L20" s="87" t="s">
        <v>73</v>
      </c>
      <c r="M20" s="85"/>
      <c r="N20" s="104">
        <f>'Financial Model'!D12</f>
        <v>2.3820000000000001</v>
      </c>
      <c r="O20" s="105"/>
    </row>
    <row r="21" spans="1:16">
      <c r="A21" s="56"/>
      <c r="L21" s="87" t="s">
        <v>76</v>
      </c>
      <c r="M21" s="85"/>
      <c r="N21" s="104">
        <f>'Financial Model'!D14</f>
        <v>1.1910000000000001</v>
      </c>
      <c r="O21" s="105"/>
    </row>
    <row r="22" spans="1:16">
      <c r="A22" s="56"/>
      <c r="L22" s="87" t="s">
        <v>78</v>
      </c>
      <c r="M22" s="85"/>
      <c r="N22" s="104">
        <f>'Financial Model'!D15</f>
        <v>2.3820000000000006</v>
      </c>
      <c r="O22" s="105"/>
    </row>
    <row r="23" spans="1:16" ht="14.65" thickBot="1">
      <c r="A23" s="56"/>
      <c r="L23" s="88" t="s">
        <v>80</v>
      </c>
      <c r="M23" s="89"/>
      <c r="N23" s="153">
        <f>'Financial Model'!D16</f>
        <v>0.20000000000000004</v>
      </c>
      <c r="O23" s="154"/>
    </row>
    <row r="24" spans="1:16" ht="10.5" customHeight="1" thickBot="1">
      <c r="A24" s="56"/>
      <c r="O24" s="57"/>
    </row>
    <row r="25" spans="1:16" ht="16.149999999999999" thickBot="1">
      <c r="A25" s="56"/>
      <c r="B25" s="168" t="s">
        <v>139</v>
      </c>
      <c r="C25" s="169"/>
      <c r="D25" s="169"/>
      <c r="E25" s="169"/>
      <c r="G25" s="170" t="s">
        <v>151</v>
      </c>
      <c r="H25" s="171"/>
      <c r="I25" s="171"/>
      <c r="J25" s="171"/>
      <c r="L25" s="81" t="s">
        <v>152</v>
      </c>
      <c r="M25" s="82"/>
      <c r="N25" s="82"/>
      <c r="O25" s="83"/>
    </row>
    <row r="26" spans="1:16" ht="55.5" customHeight="1" thickBot="1">
      <c r="A26" s="56"/>
      <c r="B26" s="18" t="s">
        <v>32</v>
      </c>
      <c r="C26" s="100" t="s">
        <v>134</v>
      </c>
      <c r="D26" s="100"/>
      <c r="E26" s="100"/>
      <c r="G26" s="126" t="s">
        <v>146</v>
      </c>
      <c r="H26" s="126"/>
      <c r="I26" s="85" t="s">
        <v>147</v>
      </c>
      <c r="J26" s="85"/>
      <c r="L26" s="87" t="s">
        <v>140</v>
      </c>
      <c r="M26" s="85"/>
      <c r="N26" s="85"/>
      <c r="O26" s="86"/>
      <c r="P26" s="3"/>
    </row>
    <row r="27" spans="1:16" ht="47.25" customHeight="1">
      <c r="A27" s="56"/>
      <c r="B27" s="165" t="s">
        <v>39</v>
      </c>
      <c r="C27" s="110" t="s">
        <v>135</v>
      </c>
      <c r="D27" s="110"/>
      <c r="E27" s="110"/>
      <c r="G27" s="85" t="s">
        <v>141</v>
      </c>
      <c r="H27" s="85"/>
      <c r="I27" s="85" t="s">
        <v>148</v>
      </c>
      <c r="J27" s="85"/>
      <c r="L27" s="87"/>
      <c r="M27" s="85"/>
      <c r="N27" s="85"/>
      <c r="O27" s="86"/>
      <c r="P27" s="3"/>
    </row>
    <row r="28" spans="1:16" ht="49.5" customHeight="1">
      <c r="A28" s="56"/>
      <c r="B28" s="4" t="s">
        <v>46</v>
      </c>
      <c r="C28" s="85" t="s">
        <v>136</v>
      </c>
      <c r="D28" s="85"/>
      <c r="E28" s="85"/>
      <c r="G28" s="126" t="s">
        <v>142</v>
      </c>
      <c r="H28" s="126"/>
      <c r="I28" s="85" t="s">
        <v>149</v>
      </c>
      <c r="J28" s="85"/>
      <c r="L28" s="87"/>
      <c r="M28" s="85"/>
      <c r="N28" s="85"/>
      <c r="O28" s="86"/>
      <c r="P28" s="3"/>
    </row>
    <row r="29" spans="1:16" ht="59.25" customHeight="1" thickBot="1">
      <c r="A29" s="56"/>
      <c r="B29" s="4" t="s">
        <v>51</v>
      </c>
      <c r="C29" s="85" t="s">
        <v>137</v>
      </c>
      <c r="D29" s="85"/>
      <c r="E29" s="85"/>
      <c r="G29" s="85" t="s">
        <v>143</v>
      </c>
      <c r="H29" s="85"/>
      <c r="I29" s="85" t="s">
        <v>150</v>
      </c>
      <c r="J29" s="85"/>
      <c r="L29" s="88"/>
      <c r="M29" s="89"/>
      <c r="N29" s="89"/>
      <c r="O29" s="90"/>
    </row>
    <row r="30" spans="1:16" ht="52.15" customHeight="1" thickBot="1">
      <c r="B30" s="64" t="s">
        <v>54</v>
      </c>
      <c r="C30" s="89" t="s">
        <v>138</v>
      </c>
      <c r="D30" s="89"/>
      <c r="E30" s="89"/>
      <c r="F30" s="58"/>
      <c r="G30" s="148" t="s">
        <v>144</v>
      </c>
      <c r="H30" s="148"/>
      <c r="I30" s="89" t="s">
        <v>145</v>
      </c>
      <c r="J30" s="148"/>
      <c r="K30" s="58"/>
      <c r="L30" s="58"/>
      <c r="M30" s="58"/>
      <c r="N30" s="58"/>
      <c r="O30" s="57"/>
    </row>
    <row r="31" spans="1:16" ht="13.5" customHeight="1" thickBot="1">
      <c r="B31" s="2"/>
      <c r="C31" s="50"/>
      <c r="D31" s="50"/>
      <c r="E31" s="50"/>
      <c r="G31" s="60"/>
      <c r="H31" s="60"/>
      <c r="I31" s="50"/>
      <c r="J31" s="60"/>
      <c r="O31" s="62"/>
    </row>
    <row r="32" spans="1:16" ht="18">
      <c r="B32" s="172" t="s">
        <v>153</v>
      </c>
      <c r="C32" s="173"/>
      <c r="D32" s="173"/>
      <c r="E32" s="173"/>
      <c r="F32" s="173"/>
      <c r="G32" s="173"/>
      <c r="H32" s="173"/>
      <c r="I32" s="173"/>
      <c r="J32" s="173"/>
      <c r="K32" s="173"/>
      <c r="L32" s="173"/>
      <c r="M32" s="173"/>
      <c r="N32" s="173"/>
      <c r="O32" s="174"/>
    </row>
    <row r="33" spans="2:15" ht="35.35" customHeight="1" thickBot="1">
      <c r="B33" s="145" t="s">
        <v>154</v>
      </c>
      <c r="C33" s="146"/>
      <c r="D33" s="146"/>
      <c r="E33" s="146"/>
      <c r="F33" s="146"/>
      <c r="G33" s="146"/>
      <c r="H33" s="146"/>
      <c r="I33" s="146"/>
      <c r="J33" s="146"/>
      <c r="K33" s="146"/>
      <c r="L33" s="146"/>
      <c r="M33" s="146"/>
      <c r="N33" s="146"/>
      <c r="O33" s="147"/>
    </row>
    <row r="34" spans="2:15">
      <c r="H34" s="2"/>
      <c r="I34" s="2"/>
    </row>
    <row r="35" spans="2:15">
      <c r="H35" s="1"/>
    </row>
    <row r="37" spans="2:15" ht="17.649999999999999">
      <c r="I37" s="61"/>
    </row>
  </sheetData>
  <mergeCells count="80">
    <mergeCell ref="B33:O33"/>
    <mergeCell ref="L23:M23"/>
    <mergeCell ref="N23:O23"/>
    <mergeCell ref="G26:H26"/>
    <mergeCell ref="I26:J26"/>
    <mergeCell ref="B25:E25"/>
    <mergeCell ref="C26:E26"/>
    <mergeCell ref="L26:O29"/>
    <mergeCell ref="G25:J25"/>
    <mergeCell ref="L25:O25"/>
    <mergeCell ref="G29:H29"/>
    <mergeCell ref="I29:J29"/>
    <mergeCell ref="G30:H30"/>
    <mergeCell ref="I30:J30"/>
    <mergeCell ref="B32:O32"/>
    <mergeCell ref="C27:E27"/>
    <mergeCell ref="C28:E28"/>
    <mergeCell ref="C29:E29"/>
    <mergeCell ref="C30:E30"/>
    <mergeCell ref="G27:H27"/>
    <mergeCell ref="I27:J27"/>
    <mergeCell ref="G28:H28"/>
    <mergeCell ref="I28:J28"/>
    <mergeCell ref="L21:M21"/>
    <mergeCell ref="L22:M22"/>
    <mergeCell ref="N16:O16"/>
    <mergeCell ref="N17:O17"/>
    <mergeCell ref="N18:O18"/>
    <mergeCell ref="N19:O19"/>
    <mergeCell ref="N20:O20"/>
    <mergeCell ref="N21:O21"/>
    <mergeCell ref="N22:O22"/>
    <mergeCell ref="B19:B20"/>
    <mergeCell ref="C19:C20"/>
    <mergeCell ref="D15:E20"/>
    <mergeCell ref="L17:M17"/>
    <mergeCell ref="L18:M18"/>
    <mergeCell ref="L19:M19"/>
    <mergeCell ref="L20:M20"/>
    <mergeCell ref="G19:G20"/>
    <mergeCell ref="H19:J20"/>
    <mergeCell ref="L15:M15"/>
    <mergeCell ref="L16:M16"/>
    <mergeCell ref="I16:J16"/>
    <mergeCell ref="I18:J18"/>
    <mergeCell ref="I17:J17"/>
    <mergeCell ref="B15:B16"/>
    <mergeCell ref="C15:C16"/>
    <mergeCell ref="B17:B18"/>
    <mergeCell ref="C17:C18"/>
    <mergeCell ref="N15:O15"/>
    <mergeCell ref="L14:O14"/>
    <mergeCell ref="B14:E14"/>
    <mergeCell ref="N12:O12"/>
    <mergeCell ref="B10:B11"/>
    <mergeCell ref="L12:M12"/>
    <mergeCell ref="G14:J14"/>
    <mergeCell ref="I15:J15"/>
    <mergeCell ref="A1:O2"/>
    <mergeCell ref="A3:O3"/>
    <mergeCell ref="L9:M9"/>
    <mergeCell ref="L10:M10"/>
    <mergeCell ref="L11:M11"/>
    <mergeCell ref="N6:O6"/>
    <mergeCell ref="N7:O7"/>
    <mergeCell ref="N8:O8"/>
    <mergeCell ref="N9:O9"/>
    <mergeCell ref="N10:O10"/>
    <mergeCell ref="N11:O11"/>
    <mergeCell ref="L5:O5"/>
    <mergeCell ref="L6:M6"/>
    <mergeCell ref="L7:M7"/>
    <mergeCell ref="L8:M8"/>
    <mergeCell ref="C10:E11"/>
    <mergeCell ref="C9:E9"/>
    <mergeCell ref="C7:E8"/>
    <mergeCell ref="C6:E6"/>
    <mergeCell ref="B5:E5"/>
    <mergeCell ref="G5:J5"/>
    <mergeCell ref="G6:J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D2344-F433-4349-A034-AD4415E6A7F7}">
  <dimension ref="A1:F11"/>
  <sheetViews>
    <sheetView workbookViewId="0">
      <selection activeCell="F5" sqref="F5"/>
    </sheetView>
  </sheetViews>
  <sheetFormatPr defaultRowHeight="14.25"/>
  <cols>
    <col min="1" max="1" width="19.19921875" customWidth="1"/>
    <col min="2" max="2" width="20.59765625" customWidth="1"/>
    <col min="3" max="3" width="10.59765625" customWidth="1"/>
    <col min="4" max="4" width="31.33203125" customWidth="1"/>
    <col min="5" max="5" width="15.6640625" customWidth="1"/>
    <col min="6" max="6" width="35.73046875" customWidth="1"/>
  </cols>
  <sheetData>
    <row r="1" spans="1:6" ht="27.4" customHeight="1" thickBot="1">
      <c r="A1" s="51" t="s">
        <v>0</v>
      </c>
      <c r="B1" s="52" t="s">
        <v>1</v>
      </c>
      <c r="C1" s="52" t="s">
        <v>2</v>
      </c>
      <c r="D1" s="52" t="s">
        <v>3</v>
      </c>
      <c r="E1" s="52" t="s">
        <v>4</v>
      </c>
      <c r="F1" s="53" t="s">
        <v>5</v>
      </c>
    </row>
    <row r="2" spans="1:6" ht="28.5">
      <c r="A2" s="14" t="s">
        <v>6</v>
      </c>
      <c r="B2" s="16" t="s">
        <v>22</v>
      </c>
      <c r="C2" s="16" t="s">
        <v>10</v>
      </c>
      <c r="D2" s="16" t="s">
        <v>10</v>
      </c>
      <c r="E2" s="155">
        <f>19852</f>
        <v>19852</v>
      </c>
      <c r="F2" s="25" t="s">
        <v>7</v>
      </c>
    </row>
    <row r="3" spans="1:6" ht="28.5">
      <c r="A3" s="9" t="s">
        <v>8</v>
      </c>
      <c r="B3" s="5" t="s">
        <v>9</v>
      </c>
      <c r="C3" s="6">
        <v>300000</v>
      </c>
      <c r="D3" s="5" t="s">
        <v>10</v>
      </c>
      <c r="E3" s="156">
        <f>C3</f>
        <v>300000</v>
      </c>
      <c r="F3" s="48" t="s">
        <v>11</v>
      </c>
    </row>
    <row r="4" spans="1:6">
      <c r="A4" s="9" t="s">
        <v>12</v>
      </c>
      <c r="B4" s="5" t="s">
        <v>23</v>
      </c>
      <c r="C4" s="5" t="s">
        <v>10</v>
      </c>
      <c r="D4" s="5" t="s">
        <v>24</v>
      </c>
      <c r="E4" s="157">
        <f>E2</f>
        <v>19852</v>
      </c>
      <c r="F4" s="48" t="s">
        <v>25</v>
      </c>
    </row>
    <row r="5" spans="1:6" ht="28.5">
      <c r="A5" s="9" t="s">
        <v>12</v>
      </c>
      <c r="B5" s="5" t="s">
        <v>13</v>
      </c>
      <c r="C5" s="5" t="s">
        <v>10</v>
      </c>
      <c r="D5" s="5" t="s">
        <v>26</v>
      </c>
      <c r="E5" s="158">
        <f>(E4*E3)/10000000</f>
        <v>595.55999999999995</v>
      </c>
      <c r="F5" s="48" t="s">
        <v>27</v>
      </c>
    </row>
    <row r="6" spans="1:6">
      <c r="A6" s="9" t="s">
        <v>8</v>
      </c>
      <c r="B6" s="5" t="s">
        <v>14</v>
      </c>
      <c r="C6" s="7">
        <v>0.4</v>
      </c>
      <c r="D6" s="5" t="s">
        <v>10</v>
      </c>
      <c r="E6" s="159">
        <f>C6</f>
        <v>0.4</v>
      </c>
      <c r="F6" s="48" t="s">
        <v>15</v>
      </c>
    </row>
    <row r="7" spans="1:6" ht="18.75" customHeight="1">
      <c r="A7" s="9" t="s">
        <v>12</v>
      </c>
      <c r="B7" s="5" t="s">
        <v>16</v>
      </c>
      <c r="C7" s="5" t="s">
        <v>10</v>
      </c>
      <c r="D7" s="5" t="s">
        <v>28</v>
      </c>
      <c r="E7" s="160">
        <f>ROUND(E4*C6,0)</f>
        <v>7941</v>
      </c>
      <c r="F7" s="48" t="s">
        <v>17</v>
      </c>
    </row>
    <row r="8" spans="1:6" ht="22.5" customHeight="1">
      <c r="A8" s="9" t="s">
        <v>12</v>
      </c>
      <c r="B8" s="5" t="s">
        <v>18</v>
      </c>
      <c r="C8" s="5" t="s">
        <v>10</v>
      </c>
      <c r="D8" s="5" t="s">
        <v>29</v>
      </c>
      <c r="E8" s="161">
        <f>(E7*E3)/10000000</f>
        <v>238.23</v>
      </c>
      <c r="F8" s="48" t="s">
        <v>17</v>
      </c>
    </row>
    <row r="9" spans="1:6">
      <c r="A9" s="9" t="s">
        <v>8</v>
      </c>
      <c r="B9" s="5" t="s">
        <v>19</v>
      </c>
      <c r="C9" s="7">
        <v>0.05</v>
      </c>
      <c r="D9" s="5" t="s">
        <v>10</v>
      </c>
      <c r="E9" s="159">
        <f>C9</f>
        <v>0.05</v>
      </c>
      <c r="F9" s="48" t="s">
        <v>15</v>
      </c>
    </row>
    <row r="10" spans="1:6">
      <c r="A10" s="9" t="s">
        <v>12</v>
      </c>
      <c r="B10" s="5" t="s">
        <v>20</v>
      </c>
      <c r="C10" s="5" t="s">
        <v>10</v>
      </c>
      <c r="D10" s="5" t="s">
        <v>30</v>
      </c>
      <c r="E10" s="162">
        <f>ROUND(E7*E9,0)</f>
        <v>397</v>
      </c>
      <c r="F10" s="48" t="s">
        <v>17</v>
      </c>
    </row>
    <row r="11" spans="1:6" ht="28.9" thickBot="1">
      <c r="A11" s="11" t="s">
        <v>12</v>
      </c>
      <c r="B11" s="12" t="s">
        <v>21</v>
      </c>
      <c r="C11" s="12" t="s">
        <v>10</v>
      </c>
      <c r="D11" s="12" t="s">
        <v>31</v>
      </c>
      <c r="E11" s="163">
        <f>(E10*E3)/10000000</f>
        <v>11.91</v>
      </c>
      <c r="F11" s="49" t="s">
        <v>17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0BE63-ABB1-42B3-8745-4150293327D9}">
  <dimension ref="A1:G5"/>
  <sheetViews>
    <sheetView workbookViewId="0">
      <selection activeCell="A8" sqref="A8:XFD8"/>
    </sheetView>
  </sheetViews>
  <sheetFormatPr defaultRowHeight="14.25"/>
  <cols>
    <col min="2" max="2" width="18.19921875" customWidth="1"/>
    <col min="3" max="3" width="19.6640625" customWidth="1"/>
    <col min="4" max="4" width="11.3984375" customWidth="1"/>
    <col min="5" max="5" width="14.86328125" customWidth="1"/>
    <col min="6" max="6" width="16.59765625" customWidth="1"/>
    <col min="7" max="7" width="24.19921875" customWidth="1"/>
  </cols>
  <sheetData>
    <row r="1" spans="1:7" ht="28.9" thickBot="1">
      <c r="A1" s="51" t="s">
        <v>32</v>
      </c>
      <c r="B1" s="52" t="s">
        <v>33</v>
      </c>
      <c r="C1" s="52" t="s">
        <v>34</v>
      </c>
      <c r="D1" s="52" t="s">
        <v>35</v>
      </c>
      <c r="E1" s="52" t="s">
        <v>36</v>
      </c>
      <c r="F1" s="52" t="s">
        <v>37</v>
      </c>
      <c r="G1" s="53" t="s">
        <v>38</v>
      </c>
    </row>
    <row r="2" spans="1:7" ht="28.5">
      <c r="A2" s="14" t="s">
        <v>39</v>
      </c>
      <c r="B2" s="16" t="s">
        <v>40</v>
      </c>
      <c r="C2" s="16" t="s">
        <v>41</v>
      </c>
      <c r="D2" s="16" t="s">
        <v>42</v>
      </c>
      <c r="E2" s="16" t="s">
        <v>43</v>
      </c>
      <c r="F2" s="16" t="s">
        <v>44</v>
      </c>
      <c r="G2" s="25" t="s">
        <v>45</v>
      </c>
    </row>
    <row r="3" spans="1:7" ht="28.5">
      <c r="A3" s="9" t="s">
        <v>46</v>
      </c>
      <c r="B3" s="5" t="s">
        <v>47</v>
      </c>
      <c r="C3" s="5" t="s">
        <v>48</v>
      </c>
      <c r="D3" s="5" t="s">
        <v>49</v>
      </c>
      <c r="E3" s="5" t="s">
        <v>43</v>
      </c>
      <c r="F3" s="5" t="s">
        <v>44</v>
      </c>
      <c r="G3" s="48" t="s">
        <v>50</v>
      </c>
    </row>
    <row r="4" spans="1:7" ht="28.5">
      <c r="A4" s="9" t="s">
        <v>51</v>
      </c>
      <c r="B4" s="5" t="s">
        <v>52</v>
      </c>
      <c r="C4" s="5" t="s">
        <v>53</v>
      </c>
      <c r="D4" s="5" t="s">
        <v>42</v>
      </c>
      <c r="E4" s="5" t="s">
        <v>43</v>
      </c>
      <c r="F4" s="5" t="s">
        <v>44</v>
      </c>
      <c r="G4" s="48" t="s">
        <v>50</v>
      </c>
    </row>
    <row r="5" spans="1:7" ht="28.9" thickBot="1">
      <c r="A5" s="11" t="s">
        <v>54</v>
      </c>
      <c r="B5" s="12" t="s">
        <v>55</v>
      </c>
      <c r="C5" s="12" t="s">
        <v>56</v>
      </c>
      <c r="D5" s="12" t="s">
        <v>42</v>
      </c>
      <c r="E5" s="12" t="s">
        <v>43</v>
      </c>
      <c r="F5" s="12" t="s">
        <v>44</v>
      </c>
      <c r="G5" s="49" t="s">
        <v>45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A33A2-8B11-42EE-B1D2-4A8E1CBD26C2}">
  <dimension ref="A1:D16"/>
  <sheetViews>
    <sheetView zoomScale="99" zoomScaleNormal="99" workbookViewId="0">
      <selection activeCell="D8" sqref="D8"/>
    </sheetView>
  </sheetViews>
  <sheetFormatPr defaultRowHeight="14.25"/>
  <cols>
    <col min="1" max="1" width="19.33203125" customWidth="1"/>
    <col min="2" max="2" width="13.33203125" customWidth="1"/>
    <col min="3" max="3" width="23.19921875" customWidth="1"/>
    <col min="4" max="4" width="18.9296875" customWidth="1"/>
  </cols>
  <sheetData>
    <row r="1" spans="1:4" ht="27" customHeight="1" thickBot="1">
      <c r="A1" s="20" t="s">
        <v>1</v>
      </c>
      <c r="B1" s="22" t="s">
        <v>2</v>
      </c>
      <c r="C1" s="22" t="s">
        <v>3</v>
      </c>
      <c r="D1" s="23" t="s">
        <v>4</v>
      </c>
    </row>
    <row r="2" spans="1:4">
      <c r="A2" s="14" t="s">
        <v>57</v>
      </c>
      <c r="B2" s="16" t="s">
        <v>10</v>
      </c>
      <c r="C2" s="16" t="s">
        <v>58</v>
      </c>
      <c r="D2" s="46">
        <f>'Market Sizing'!E10</f>
        <v>397</v>
      </c>
    </row>
    <row r="3" spans="1:4" ht="28.5">
      <c r="A3" s="9" t="s">
        <v>59</v>
      </c>
      <c r="B3" s="6">
        <v>300000</v>
      </c>
      <c r="C3" s="5" t="s">
        <v>10</v>
      </c>
      <c r="D3" s="47">
        <f>B3</f>
        <v>300000</v>
      </c>
    </row>
    <row r="4" spans="1:4" ht="28.5">
      <c r="A4" s="9" t="s">
        <v>60</v>
      </c>
      <c r="B4" s="5" t="s">
        <v>10</v>
      </c>
      <c r="C4" s="5" t="s">
        <v>61</v>
      </c>
      <c r="D4" s="41">
        <f>(D2*D3)/10000000</f>
        <v>11.91</v>
      </c>
    </row>
    <row r="5" spans="1:4">
      <c r="A5" s="9" t="s">
        <v>62</v>
      </c>
      <c r="B5" s="7">
        <v>0.25</v>
      </c>
      <c r="C5" s="5" t="s">
        <v>10</v>
      </c>
      <c r="D5" s="43">
        <f>B5</f>
        <v>0.25</v>
      </c>
    </row>
    <row r="6" spans="1:4">
      <c r="A6" s="9" t="s">
        <v>63</v>
      </c>
      <c r="B6" s="5" t="s">
        <v>10</v>
      </c>
      <c r="C6" s="5" t="s">
        <v>64</v>
      </c>
      <c r="D6" s="41">
        <f>D4*D5</f>
        <v>2.9775</v>
      </c>
    </row>
    <row r="7" spans="1:4">
      <c r="A7" s="9" t="s">
        <v>65</v>
      </c>
      <c r="B7" s="5" t="s">
        <v>10</v>
      </c>
      <c r="C7" s="5" t="s">
        <v>66</v>
      </c>
      <c r="D7" s="41">
        <f>D4-D6</f>
        <v>8.932500000000001</v>
      </c>
    </row>
    <row r="8" spans="1:4">
      <c r="A8" s="9" t="s">
        <v>67</v>
      </c>
      <c r="B8" s="5" t="s">
        <v>10</v>
      </c>
      <c r="C8" s="5" t="s">
        <v>68</v>
      </c>
      <c r="D8" s="43">
        <f>D7/D4</f>
        <v>0.75000000000000011</v>
      </c>
    </row>
    <row r="9" spans="1:4">
      <c r="A9" s="9" t="s">
        <v>69</v>
      </c>
      <c r="B9" s="7">
        <v>0.25</v>
      </c>
      <c r="C9" s="5" t="s">
        <v>10</v>
      </c>
      <c r="D9" s="43">
        <f>B9</f>
        <v>0.25</v>
      </c>
    </row>
    <row r="10" spans="1:4">
      <c r="A10" s="9" t="s">
        <v>70</v>
      </c>
      <c r="B10" s="5" t="s">
        <v>10</v>
      </c>
      <c r="C10" s="5" t="s">
        <v>71</v>
      </c>
      <c r="D10" s="41">
        <f>D4*D9</f>
        <v>2.9775</v>
      </c>
    </row>
    <row r="11" spans="1:4">
      <c r="A11" s="9" t="s">
        <v>72</v>
      </c>
      <c r="B11" s="7">
        <v>0.2</v>
      </c>
      <c r="C11" s="5" t="s">
        <v>10</v>
      </c>
      <c r="D11" s="43">
        <f>B11</f>
        <v>0.2</v>
      </c>
    </row>
    <row r="12" spans="1:4">
      <c r="A12" s="9" t="s">
        <v>73</v>
      </c>
      <c r="B12" s="5" t="s">
        <v>10</v>
      </c>
      <c r="C12" s="5" t="s">
        <v>74</v>
      </c>
      <c r="D12" s="41">
        <f>D4*D11</f>
        <v>2.3820000000000001</v>
      </c>
    </row>
    <row r="13" spans="1:4">
      <c r="A13" s="9" t="s">
        <v>75</v>
      </c>
      <c r="B13" s="7">
        <v>0.1</v>
      </c>
      <c r="C13" s="5" t="s">
        <v>10</v>
      </c>
      <c r="D13" s="43">
        <f>B13</f>
        <v>0.1</v>
      </c>
    </row>
    <row r="14" spans="1:4">
      <c r="A14" s="9" t="s">
        <v>76</v>
      </c>
      <c r="B14" s="5" t="s">
        <v>10</v>
      </c>
      <c r="C14" s="5" t="s">
        <v>77</v>
      </c>
      <c r="D14" s="41">
        <f>D4*D13</f>
        <v>1.1910000000000001</v>
      </c>
    </row>
    <row r="15" spans="1:4" ht="28.5">
      <c r="A15" s="26" t="s">
        <v>78</v>
      </c>
      <c r="B15" s="5" t="s">
        <v>10</v>
      </c>
      <c r="C15" s="5" t="s">
        <v>79</v>
      </c>
      <c r="D15" s="41">
        <f>D7-D10-D12-D14</f>
        <v>2.3820000000000006</v>
      </c>
    </row>
    <row r="16" spans="1:4" ht="14.65" thickBot="1">
      <c r="A16" s="29" t="s">
        <v>80</v>
      </c>
      <c r="B16" s="12" t="s">
        <v>10</v>
      </c>
      <c r="C16" s="12" t="s">
        <v>81</v>
      </c>
      <c r="D16" s="63">
        <f>D15/D4</f>
        <v>0.20000000000000004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197F1-1B87-4F41-B118-CE89DF7B5E39}">
  <dimension ref="A1:D23"/>
  <sheetViews>
    <sheetView workbookViewId="0">
      <selection activeCell="C6" sqref="C6"/>
    </sheetView>
  </sheetViews>
  <sheetFormatPr defaultRowHeight="14.25"/>
  <cols>
    <col min="1" max="1" width="23.6640625" customWidth="1"/>
    <col min="2" max="2" width="14.3984375" customWidth="1"/>
    <col min="3" max="3" width="15.59765625" customWidth="1"/>
    <col min="4" max="4" width="16.53125" customWidth="1"/>
  </cols>
  <sheetData>
    <row r="1" spans="1:4" ht="20.65" customHeight="1" thickBot="1">
      <c r="A1" s="20" t="s">
        <v>1</v>
      </c>
      <c r="B1" s="22" t="s">
        <v>82</v>
      </c>
      <c r="C1" s="22" t="s">
        <v>83</v>
      </c>
      <c r="D1" s="23" t="s">
        <v>84</v>
      </c>
    </row>
    <row r="2" spans="1:4" ht="18" customHeight="1">
      <c r="A2" s="24" t="s">
        <v>57</v>
      </c>
      <c r="B2" s="16">
        <v>200</v>
      </c>
      <c r="C2" s="16">
        <v>397</v>
      </c>
      <c r="D2" s="25">
        <v>600</v>
      </c>
    </row>
    <row r="3" spans="1:4" ht="22.9" customHeight="1">
      <c r="A3" s="26" t="s">
        <v>59</v>
      </c>
      <c r="B3" s="6">
        <v>200000</v>
      </c>
      <c r="C3" s="6">
        <v>300000</v>
      </c>
      <c r="D3" s="27">
        <v>400000</v>
      </c>
    </row>
    <row r="4" spans="1:4" ht="16.149999999999999" customHeight="1">
      <c r="A4" s="26" t="s">
        <v>62</v>
      </c>
      <c r="B4" s="7">
        <v>0.3</v>
      </c>
      <c r="C4" s="7">
        <v>0.25</v>
      </c>
      <c r="D4" s="28">
        <v>0.2</v>
      </c>
    </row>
    <row r="5" spans="1:4" ht="18" customHeight="1">
      <c r="A5" s="26" t="s">
        <v>69</v>
      </c>
      <c r="B5" s="7">
        <v>0.3</v>
      </c>
      <c r="C5" s="7">
        <v>0.25</v>
      </c>
      <c r="D5" s="28">
        <v>0.2</v>
      </c>
    </row>
    <row r="6" spans="1:4">
      <c r="A6" s="26" t="s">
        <v>72</v>
      </c>
      <c r="B6" s="7">
        <v>0.25</v>
      </c>
      <c r="C6" s="7">
        <v>0.2</v>
      </c>
      <c r="D6" s="28">
        <v>0.15</v>
      </c>
    </row>
    <row r="7" spans="1:4" ht="14.65" thickBot="1">
      <c r="A7" s="29" t="s">
        <v>75</v>
      </c>
      <c r="B7" s="30">
        <v>0.12</v>
      </c>
      <c r="C7" s="30">
        <v>0.1</v>
      </c>
      <c r="D7" s="31">
        <v>0.08</v>
      </c>
    </row>
    <row r="8" spans="1:4" ht="14.65" thickBot="1">
      <c r="A8" s="32"/>
      <c r="B8" s="33"/>
      <c r="C8" s="33"/>
      <c r="D8" s="34"/>
    </row>
    <row r="9" spans="1:4" ht="19.5" customHeight="1">
      <c r="A9" s="8" t="s">
        <v>60</v>
      </c>
      <c r="B9" s="35">
        <f>B2*B3/10000000</f>
        <v>4</v>
      </c>
      <c r="C9" s="36">
        <f>C2*C3/10000000</f>
        <v>11.91</v>
      </c>
      <c r="D9" s="37">
        <f>D2*D3/10000000</f>
        <v>24</v>
      </c>
    </row>
    <row r="10" spans="1:4">
      <c r="A10" s="26" t="s">
        <v>63</v>
      </c>
      <c r="B10" s="38">
        <f>B9*B4</f>
        <v>1.2</v>
      </c>
      <c r="C10" s="38">
        <f>C9*C4</f>
        <v>2.9775</v>
      </c>
      <c r="D10" s="39">
        <f>D9*D4</f>
        <v>4.8000000000000007</v>
      </c>
    </row>
    <row r="11" spans="1:4" ht="16.149999999999999" customHeight="1">
      <c r="A11" s="26" t="s">
        <v>65</v>
      </c>
      <c r="B11" s="40">
        <f>B9-B10</f>
        <v>2.8</v>
      </c>
      <c r="C11" s="40">
        <f>C9-C10</f>
        <v>8.932500000000001</v>
      </c>
      <c r="D11" s="41">
        <f>D9-D10</f>
        <v>19.2</v>
      </c>
    </row>
    <row r="12" spans="1:4" ht="16.899999999999999" customHeight="1">
      <c r="A12" s="26" t="s">
        <v>67</v>
      </c>
      <c r="B12" s="42">
        <f>B11/B9</f>
        <v>0.7</v>
      </c>
      <c r="C12" s="42">
        <f>C11/C9</f>
        <v>0.75000000000000011</v>
      </c>
      <c r="D12" s="43">
        <f>D11/D9</f>
        <v>0.79999999999999993</v>
      </c>
    </row>
    <row r="13" spans="1:4" ht="16.5" customHeight="1">
      <c r="A13" s="26" t="s">
        <v>70</v>
      </c>
      <c r="B13" s="38">
        <f>B9*B5</f>
        <v>1.2</v>
      </c>
      <c r="C13" s="38">
        <f>C9*C5</f>
        <v>2.9775</v>
      </c>
      <c r="D13" s="39">
        <f>D9*D5</f>
        <v>4.8000000000000007</v>
      </c>
    </row>
    <row r="14" spans="1:4" ht="18" customHeight="1">
      <c r="A14" s="26" t="s">
        <v>73</v>
      </c>
      <c r="B14" s="38">
        <f>B9*B6</f>
        <v>1</v>
      </c>
      <c r="C14" s="38">
        <f>C9*C6</f>
        <v>2.3820000000000001</v>
      </c>
      <c r="D14" s="39">
        <f>D9*D6</f>
        <v>3.5999999999999996</v>
      </c>
    </row>
    <row r="15" spans="1:4" ht="17.25" customHeight="1">
      <c r="A15" s="26" t="s">
        <v>76</v>
      </c>
      <c r="B15" s="38">
        <f>B9*B7</f>
        <v>0.48</v>
      </c>
      <c r="C15" s="38">
        <f>C9*C7</f>
        <v>1.1910000000000001</v>
      </c>
      <c r="D15" s="39">
        <f>D9*D7</f>
        <v>1.92</v>
      </c>
    </row>
    <row r="16" spans="1:4" ht="17.649999999999999" customHeight="1">
      <c r="A16" s="26" t="s">
        <v>78</v>
      </c>
      <c r="B16" s="40">
        <f>B11-B13-B14-B15</f>
        <v>0.11999999999999988</v>
      </c>
      <c r="C16" s="40">
        <f>C11-C13-C14-C15</f>
        <v>2.3820000000000006</v>
      </c>
      <c r="D16" s="41">
        <f>D11-D13-D14-D15</f>
        <v>8.879999999999999</v>
      </c>
    </row>
    <row r="17" spans="1:4" ht="17.649999999999999" customHeight="1" thickBot="1">
      <c r="A17" s="29" t="s">
        <v>80</v>
      </c>
      <c r="B17" s="44">
        <f>B16/B9</f>
        <v>2.9999999999999971E-2</v>
      </c>
      <c r="C17" s="44">
        <f>C16/C9</f>
        <v>0.20000000000000004</v>
      </c>
      <c r="D17" s="45">
        <f>D16/D9</f>
        <v>0.36999999999999994</v>
      </c>
    </row>
    <row r="18" spans="1:4">
      <c r="A18" s="21"/>
      <c r="B18" s="2"/>
      <c r="C18" s="21"/>
      <c r="D18" s="21"/>
    </row>
    <row r="19" spans="1:4">
      <c r="A19" s="21"/>
      <c r="B19" s="2"/>
      <c r="C19" s="21"/>
      <c r="D19" s="21"/>
    </row>
    <row r="20" spans="1:4">
      <c r="B20" s="2"/>
    </row>
    <row r="21" spans="1:4">
      <c r="B21" s="2"/>
    </row>
    <row r="22" spans="1:4">
      <c r="B22" s="2"/>
    </row>
    <row r="23" spans="1:4">
      <c r="B23" s="2"/>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9FF7E-1587-4FBD-9B7E-A89E0AB2CB7B}">
  <dimension ref="A1:E13"/>
  <sheetViews>
    <sheetView workbookViewId="0">
      <selection activeCell="B3" sqref="B3"/>
    </sheetView>
  </sheetViews>
  <sheetFormatPr defaultRowHeight="14.25"/>
  <cols>
    <col min="1" max="1" width="20.59765625" customWidth="1"/>
    <col min="2" max="2" width="16.33203125" customWidth="1"/>
    <col min="3" max="3" width="14.3984375" customWidth="1"/>
    <col min="4" max="4" width="32.53125" customWidth="1"/>
    <col min="5" max="5" width="45" customWidth="1"/>
  </cols>
  <sheetData>
    <row r="1" spans="1:5" ht="28.9" thickBot="1">
      <c r="A1" s="51" t="s">
        <v>85</v>
      </c>
      <c r="B1" s="52" t="s">
        <v>86</v>
      </c>
      <c r="C1" s="52" t="s">
        <v>87</v>
      </c>
      <c r="D1" s="52" t="s">
        <v>88</v>
      </c>
      <c r="E1" s="54" t="s">
        <v>102</v>
      </c>
    </row>
    <row r="2" spans="1:5" ht="28.5">
      <c r="A2" s="14" t="s">
        <v>89</v>
      </c>
      <c r="B2" s="15">
        <v>19852</v>
      </c>
      <c r="C2" s="16" t="s">
        <v>90</v>
      </c>
      <c r="D2" s="16" t="s">
        <v>101</v>
      </c>
      <c r="E2" s="17" t="s">
        <v>103</v>
      </c>
    </row>
    <row r="3" spans="1:5" ht="28.5">
      <c r="A3" s="9" t="s">
        <v>9</v>
      </c>
      <c r="B3" s="6">
        <v>300000</v>
      </c>
      <c r="C3" s="5" t="s">
        <v>2</v>
      </c>
      <c r="D3" s="5" t="s">
        <v>91</v>
      </c>
      <c r="E3" s="19" t="s">
        <v>10</v>
      </c>
    </row>
    <row r="4" spans="1:5">
      <c r="A4" s="9" t="s">
        <v>92</v>
      </c>
      <c r="B4" s="7">
        <v>0.4</v>
      </c>
      <c r="C4" s="5" t="s">
        <v>2</v>
      </c>
      <c r="D4" s="5" t="s">
        <v>93</v>
      </c>
      <c r="E4" s="19" t="s">
        <v>10</v>
      </c>
    </row>
    <row r="5" spans="1:5">
      <c r="A5" s="9" t="s">
        <v>94</v>
      </c>
      <c r="B5" s="7">
        <v>0.05</v>
      </c>
      <c r="C5" s="5" t="s">
        <v>2</v>
      </c>
      <c r="D5" s="5" t="s">
        <v>93</v>
      </c>
      <c r="E5" s="19" t="s">
        <v>10</v>
      </c>
    </row>
    <row r="6" spans="1:5">
      <c r="A6" s="9" t="s">
        <v>63</v>
      </c>
      <c r="B6" s="7">
        <v>0.25</v>
      </c>
      <c r="C6" s="5" t="s">
        <v>2</v>
      </c>
      <c r="D6" s="5" t="s">
        <v>95</v>
      </c>
      <c r="E6" s="19" t="s">
        <v>10</v>
      </c>
    </row>
    <row r="7" spans="1:5">
      <c r="A7" s="9" t="s">
        <v>70</v>
      </c>
      <c r="B7" s="7">
        <v>0.25</v>
      </c>
      <c r="C7" s="5" t="s">
        <v>2</v>
      </c>
      <c r="D7" s="5" t="s">
        <v>95</v>
      </c>
      <c r="E7" s="19" t="s">
        <v>10</v>
      </c>
    </row>
    <row r="8" spans="1:5">
      <c r="A8" s="9" t="s">
        <v>73</v>
      </c>
      <c r="B8" s="7">
        <v>0.2</v>
      </c>
      <c r="C8" s="5" t="s">
        <v>2</v>
      </c>
      <c r="D8" s="5" t="s">
        <v>95</v>
      </c>
      <c r="E8" s="19" t="s">
        <v>10</v>
      </c>
    </row>
    <row r="9" spans="1:5">
      <c r="A9" s="9" t="s">
        <v>76</v>
      </c>
      <c r="B9" s="7">
        <v>0.1</v>
      </c>
      <c r="C9" s="5" t="s">
        <v>2</v>
      </c>
      <c r="D9" s="5" t="s">
        <v>95</v>
      </c>
      <c r="E9" s="19" t="s">
        <v>10</v>
      </c>
    </row>
    <row r="10" spans="1:5" ht="28.5">
      <c r="A10" s="9" t="s">
        <v>39</v>
      </c>
      <c r="B10" s="5" t="s">
        <v>10</v>
      </c>
      <c r="C10" s="5" t="s">
        <v>96</v>
      </c>
      <c r="D10" s="5" t="s">
        <v>97</v>
      </c>
      <c r="E10" s="10" t="s">
        <v>104</v>
      </c>
    </row>
    <row r="11" spans="1:5" ht="28.5">
      <c r="A11" s="9" t="s">
        <v>46</v>
      </c>
      <c r="B11" s="5" t="s">
        <v>10</v>
      </c>
      <c r="C11" s="5" t="s">
        <v>96</v>
      </c>
      <c r="D11" s="5" t="s">
        <v>98</v>
      </c>
      <c r="E11" s="10" t="s">
        <v>105</v>
      </c>
    </row>
    <row r="12" spans="1:5" ht="28.5">
      <c r="A12" s="9" t="s">
        <v>51</v>
      </c>
      <c r="B12" s="5" t="s">
        <v>10</v>
      </c>
      <c r="C12" s="5" t="s">
        <v>96</v>
      </c>
      <c r="D12" s="5" t="s">
        <v>99</v>
      </c>
      <c r="E12" s="10" t="s">
        <v>106</v>
      </c>
    </row>
    <row r="13" spans="1:5" ht="28.9" thickBot="1">
      <c r="A13" s="11" t="s">
        <v>54</v>
      </c>
      <c r="B13" s="12" t="s">
        <v>10</v>
      </c>
      <c r="C13" s="12" t="s">
        <v>96</v>
      </c>
      <c r="D13" s="12" t="s">
        <v>100</v>
      </c>
      <c r="E13" s="13" t="s">
        <v>107</v>
      </c>
    </row>
  </sheetData>
  <hyperlinks>
    <hyperlink ref="E2" r:id="rId1" xr:uid="{79081DE5-4142-4A49-ADC2-68BEED623C53}"/>
    <hyperlink ref="E10" r:id="rId2" xr:uid="{8C4EB286-ADBB-487A-9A61-3803CFFED279}"/>
    <hyperlink ref="E11" r:id="rId3" xr:uid="{C8783AF7-EBA5-4D5A-B8AF-872A141BBBBC}"/>
    <hyperlink ref="E12" r:id="rId4" xr:uid="{631A466F-C82D-4F2F-B1B0-E00F68D0E2D2}"/>
    <hyperlink ref="E13" r:id="rId5" xr:uid="{AE75F78C-16BA-42ED-B2BD-49FE2D21277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Executive Summary</vt:lpstr>
      <vt:lpstr>Market Sizing</vt:lpstr>
      <vt:lpstr>Benchmarking</vt:lpstr>
      <vt:lpstr>Financial Model</vt:lpstr>
      <vt:lpstr>Scenarios</vt:lpstr>
      <vt:lpstr>Assumptions &amp; 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Rajan</dc:creator>
  <cp:lastModifiedBy>Shilpa Rajan</cp:lastModifiedBy>
  <dcterms:created xsi:type="dcterms:W3CDTF">2026-09-28T20:26:37Z</dcterms:created>
  <dcterms:modified xsi:type="dcterms:W3CDTF">2026-09-29T10:25:30Z</dcterms:modified>
</cp:coreProperties>
</file>